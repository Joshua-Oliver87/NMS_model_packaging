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NEW Working at home\Emeritus Professor activities\WSDA Contract\Model\"/>
    </mc:Choice>
  </mc:AlternateContent>
  <xr:revisionPtr revIDLastSave="0" documentId="13_ncr:1_{749E9F66-0DDF-4202-BFFE-2DFD585F1F2A}" xr6:coauthVersionLast="47" xr6:coauthVersionMax="47" xr10:uidLastSave="{00000000-0000-0000-0000-000000000000}"/>
  <bookViews>
    <workbookView xWindow="28680" yWindow="-120" windowWidth="29040" windowHeight="15720" tabRatio="763" activeTab="3" xr2:uid="{C5A04938-D5EB-4524-B84B-D2F263E9E376}"/>
  </bookViews>
  <sheets>
    <sheet name="Field Input" sheetId="1" r:id="rId1"/>
    <sheet name="Crop Parameters" sheetId="8" r:id="rId2"/>
    <sheet name="Initial Soil Conditions" sheetId="3" r:id="rId3"/>
    <sheet name="Crop One Output" sheetId="9" r:id="rId4"/>
    <sheet name="Crop One Soil Output" sheetId="10" r:id="rId5"/>
    <sheet name="Crop Two Output" sheetId="13" r:id="rId6"/>
    <sheet name="Crop Two Soil Output" sheetId="14" r:id="rId7"/>
    <sheet name="Summary Output" sheetId="11" r:id="rId8"/>
    <sheet name="Test" sheetId="4" r:id="rId9"/>
  </sheets>
  <functionGroups builtInGroupCount="19"/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1" l="1"/>
  <c r="N38" i="1"/>
  <c r="M38" i="1"/>
  <c r="L38" i="1"/>
  <c r="K38" i="1"/>
  <c r="J38" i="1"/>
  <c r="I38" i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F62" i="1"/>
  <c r="F63" i="1"/>
  <c r="F60" i="1"/>
  <c r="F59" i="1"/>
  <c r="F58" i="1"/>
  <c r="F61" i="1" l="1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B438" i="1" l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58" i="1"/>
  <c r="F57" i="1"/>
  <c r="C27" i="1"/>
  <c r="C26" i="1"/>
  <c r="C25" i="1"/>
  <c r="C24" i="1"/>
  <c r="C23" i="1"/>
  <c r="E5" i="1"/>
  <c r="J30" i="8" l="1"/>
  <c r="J23" i="8"/>
  <c r="J22" i="8"/>
  <c r="L30" i="8"/>
  <c r="P30" i="8"/>
  <c r="Q22" i="8" l="1"/>
  <c r="Q23" i="8"/>
  <c r="Q30" i="8"/>
  <c r="K30" i="4"/>
  <c r="K9" i="4"/>
  <c r="K10" i="4"/>
  <c r="K8" i="4"/>
</calcChain>
</file>

<file path=xl/sharedStrings.xml><?xml version="1.0" encoding="utf-8"?>
<sst xmlns="http://schemas.openxmlformats.org/spreadsheetml/2006/main" count="394" uniqueCount="227">
  <si>
    <t>Name</t>
  </si>
  <si>
    <t>Crop</t>
  </si>
  <si>
    <t>Planting</t>
  </si>
  <si>
    <t>Date</t>
  </si>
  <si>
    <t>Estimated</t>
  </si>
  <si>
    <t>Maturity</t>
  </si>
  <si>
    <t>Irrigation</t>
  </si>
  <si>
    <t>Method</t>
  </si>
  <si>
    <t>Water</t>
  </si>
  <si>
    <t>Water N</t>
  </si>
  <si>
    <t>Concentration</t>
  </si>
  <si>
    <t>(mg/L)</t>
  </si>
  <si>
    <t>Horizon #</t>
  </si>
  <si>
    <t>Thickness (m)</t>
  </si>
  <si>
    <t>Percent Clay</t>
  </si>
  <si>
    <t>Percent Silt</t>
  </si>
  <si>
    <t>Percent Sand</t>
  </si>
  <si>
    <t>Field</t>
  </si>
  <si>
    <t>Capacity</t>
  </si>
  <si>
    <t>Water Content</t>
  </si>
  <si>
    <t>Permanent</t>
  </si>
  <si>
    <t>Wilting Point</t>
  </si>
  <si>
    <t>Soil Organic</t>
  </si>
  <si>
    <t>Carbon</t>
  </si>
  <si>
    <t>(%)</t>
  </si>
  <si>
    <t>(mm/dd/yyyy)</t>
  </si>
  <si>
    <t>Full Canopy</t>
  </si>
  <si>
    <t>Senescence</t>
  </si>
  <si>
    <t>Beginning Canopy</t>
  </si>
  <si>
    <t>Harvest</t>
  </si>
  <si>
    <t>Nitrogen application</t>
  </si>
  <si>
    <t>Application</t>
  </si>
  <si>
    <t>(kg/ha)</t>
  </si>
  <si>
    <t>Content</t>
  </si>
  <si>
    <t>(% mass)</t>
  </si>
  <si>
    <t>Method (*)</t>
  </si>
  <si>
    <t>Organic Fertilizer</t>
  </si>
  <si>
    <t>Nitrogen</t>
  </si>
  <si>
    <t>Maximum</t>
  </si>
  <si>
    <t>Temperature</t>
  </si>
  <si>
    <r>
      <t>(</t>
    </r>
    <r>
      <rPr>
        <vertAlign val="superscript"/>
        <sz val="11"/>
        <color theme="1"/>
        <rFont val="Aptos Narrow"/>
        <family val="2"/>
        <scheme val="minor"/>
      </rPr>
      <t>o</t>
    </r>
    <r>
      <rPr>
        <sz val="11"/>
        <color theme="1"/>
        <rFont val="Aptos Narrow"/>
        <family val="2"/>
        <scheme val="minor"/>
      </rPr>
      <t>C)</t>
    </r>
  </si>
  <si>
    <t>Minimum</t>
  </si>
  <si>
    <t>Relative Humidity</t>
  </si>
  <si>
    <t>Solar</t>
  </si>
  <si>
    <t>Radiation</t>
  </si>
  <si>
    <t>Wind Speed</t>
  </si>
  <si>
    <t>(m/s)</t>
  </si>
  <si>
    <t>Precipitation</t>
  </si>
  <si>
    <t>(mm)</t>
  </si>
  <si>
    <t>FAO Reference Crop</t>
  </si>
  <si>
    <t>Evapotranspiration</t>
  </si>
  <si>
    <t>Fertilization</t>
  </si>
  <si>
    <t>(MJ/m2)</t>
  </si>
  <si>
    <t xml:space="preserve"> Farm name</t>
  </si>
  <si>
    <t xml:space="preserve"> Number of horizons</t>
  </si>
  <si>
    <t>Sprinkler</t>
  </si>
  <si>
    <t xml:space="preserve">                                                                         (*) 1 = River, 2 = Canal, 3 = Groundwater</t>
  </si>
  <si>
    <t>Source (*)</t>
  </si>
  <si>
    <t>Test1</t>
  </si>
  <si>
    <t xml:space="preserve">Expected </t>
  </si>
  <si>
    <t>Yield at</t>
  </si>
  <si>
    <t>Commercial</t>
  </si>
  <si>
    <t>Moisture</t>
  </si>
  <si>
    <t>Silage corn</t>
  </si>
  <si>
    <t>Fertilization rate</t>
  </si>
  <si>
    <t>Organic</t>
  </si>
  <si>
    <t>Mineral</t>
  </si>
  <si>
    <t xml:space="preserve">(*) 1. Surface broadcasting without incorporation, 2. Surface broadcasting with incorporation, 3. Injection </t>
  </si>
  <si>
    <t>Area</t>
  </si>
  <si>
    <t>(ha)</t>
  </si>
  <si>
    <t xml:space="preserve"> Field number</t>
  </si>
  <si>
    <t xml:space="preserve"> Field name</t>
  </si>
  <si>
    <t>Net Irrigation</t>
  </si>
  <si>
    <t>Fertilizer</t>
  </si>
  <si>
    <t xml:space="preserve">Organic </t>
  </si>
  <si>
    <t>Farm and field description</t>
  </si>
  <si>
    <t>Soil description</t>
  </si>
  <si>
    <t>Crop description</t>
  </si>
  <si>
    <t>Daily weather</t>
  </si>
  <si>
    <t>Net irrigation</t>
  </si>
  <si>
    <t>Depth</t>
  </si>
  <si>
    <t>Fertilizer Name</t>
  </si>
  <si>
    <t>Do not touch</t>
  </si>
  <si>
    <t>Full canopy</t>
  </si>
  <si>
    <t>Begin Senescence</t>
  </si>
  <si>
    <t>Do not change</t>
  </si>
  <si>
    <t xml:space="preserve"> Convert calendar dates to the day of the year (DOY)</t>
  </si>
  <si>
    <t xml:space="preserve"> Number of crops (1 or 2)</t>
  </si>
  <si>
    <t>DOY</t>
  </si>
  <si>
    <t>or change</t>
  </si>
  <si>
    <t xml:space="preserve"> Crop Name</t>
  </si>
  <si>
    <t xml:space="preserve"> Transpiration Use Efficiency at 1 kPa(kg/kg)</t>
  </si>
  <si>
    <t xml:space="preserve"> Slope of Power Function of Daytime VPD</t>
  </si>
  <si>
    <t xml:space="preserve"> Maximum Root Depth (m)</t>
  </si>
  <si>
    <t xml:space="preserve"> Midseason (maximum) Crop Coefficient</t>
  </si>
  <si>
    <t xml:space="preserve"> Maximum Crop Water Uptake with Full Interception of Solar Radiation (mm/day)</t>
  </si>
  <si>
    <t xml:space="preserve"> Leaf Water Potential at the Onset of Stomatal Closure (J/kg)</t>
  </si>
  <si>
    <t xml:space="preserve"> Leaf Water Potential at Permanent Wilting (zero transpiration) (J/kg)</t>
  </si>
  <si>
    <t xml:space="preserve"> Initial Green Canopy Cover (Fraction 0 - 1)</t>
  </si>
  <si>
    <t xml:space="preserve"> Maximum Green Canopy Cover (Fraction 0 - 1)</t>
  </si>
  <si>
    <t xml:space="preserve"> Maturity Green Canopy Cover (Fraction 0 - 1)</t>
  </si>
  <si>
    <t xml:space="preserve"> Maximum N concentration at emergence (kg/kg) (Default: Use 0.07 for C3 and 0.055 for C4 crops)</t>
  </si>
  <si>
    <t xml:space="preserve"> Minimum N concentration at emergence (kg/kg) (Default: use Nmin =  0.45 * Nmax)</t>
  </si>
  <si>
    <t xml:space="preserve"> Biomass to start dilution of maximum N concentration (Mg/ha)</t>
  </si>
  <si>
    <t xml:space="preserve"> Biomass to start dilution of critical N concentration (Mg/ha)</t>
  </si>
  <si>
    <t xml:space="preserve"> Biomass to start dilution of minimum N concentration (Mg/ha)</t>
  </si>
  <si>
    <t xml:space="preserve"> N Dilution slope</t>
  </si>
  <si>
    <t>Transpiration Parameters</t>
  </si>
  <si>
    <t>Biomass Growth Parameters</t>
  </si>
  <si>
    <t>Canopy Growth Parameters</t>
  </si>
  <si>
    <t>Nitrogen Uptake Parameters</t>
  </si>
  <si>
    <t>Crop Parameters</t>
  </si>
  <si>
    <t>Triticale</t>
  </si>
  <si>
    <t>Grain corn</t>
  </si>
  <si>
    <t>are given in Field tabs, cells [A38] and [A39]</t>
  </si>
  <si>
    <t xml:space="preserve">The number of crops (1 or 2) and names </t>
  </si>
  <si>
    <t>crops. Copy into columns J and L as needed</t>
  </si>
  <si>
    <t>The following are the currently available crops.</t>
  </si>
  <si>
    <t>Do not touch ---&gt;</t>
  </si>
  <si>
    <t xml:space="preserve">                                    &lt;--- Equivalent Day of the Year (DOY)</t>
  </si>
  <si>
    <t>Emergence</t>
  </si>
  <si>
    <t>(Rounded to</t>
  </si>
  <si>
    <t xml:space="preserve"> one decimal)</t>
  </si>
  <si>
    <t xml:space="preserve"> Do not touch</t>
  </si>
  <si>
    <t>Thickness</t>
  </si>
  <si>
    <t xml:space="preserve">Nitrate-N </t>
  </si>
  <si>
    <t>Ammonium-N</t>
  </si>
  <si>
    <t>Layer</t>
  </si>
  <si>
    <t>(m/m)</t>
  </si>
  <si>
    <t xml:space="preserve">* Distribute the water and nitrogen content  from the </t>
  </si>
  <si>
    <t xml:space="preserve">   soil sample layering to best match model layers</t>
  </si>
  <si>
    <t>(m) (*)</t>
  </si>
  <si>
    <t>(*) Layer thickness can be different for each layer</t>
  </si>
  <si>
    <t xml:space="preserve"> Number of layers for initial conditions</t>
  </si>
  <si>
    <t xml:space="preserve">      BUT, they must be a multiple of 0.1 m</t>
  </si>
  <si>
    <t xml:space="preserve"> Seeding Depth (m)</t>
  </si>
  <si>
    <t xml:space="preserve"> Initial Root Depth From Germinated Seed(m)</t>
  </si>
  <si>
    <t xml:space="preserve"> Maximum Crop Height (m)</t>
  </si>
  <si>
    <t xml:space="preserve"> Maximum N concentration at maturity (kg/kg)</t>
  </si>
  <si>
    <t xml:space="preserve"> Critical N concentration at maturity (kg/kg)</t>
  </si>
  <si>
    <t xml:space="preserve"> Minimum N concentration at maturity (kg/kg)</t>
  </si>
  <si>
    <t>DO NOT LEAVE CELLS EMPTY. ALWAYS ENTER A ZERO</t>
  </si>
  <si>
    <t>Nitrate</t>
  </si>
  <si>
    <t xml:space="preserve"> Nitrate-N</t>
  </si>
  <si>
    <t xml:space="preserve"> Ammonium-N</t>
  </si>
  <si>
    <t xml:space="preserve"> Ammonia-N</t>
  </si>
  <si>
    <t>Mass Fraction</t>
  </si>
  <si>
    <t>Green Canopy Cover</t>
  </si>
  <si>
    <t>Root Depth (m)</t>
  </si>
  <si>
    <t>Crop N Mass (kg/ha)</t>
  </si>
  <si>
    <t>N Uptake (kg/ha)</t>
  </si>
  <si>
    <t>Transpiration (mm)</t>
  </si>
  <si>
    <t>Biomass (kg/ha)</t>
  </si>
  <si>
    <t>Height (m)</t>
  </si>
  <si>
    <t>Max N Conc (kg/kg)</t>
  </si>
  <si>
    <t>Crit N Conc (kg/kg)</t>
  </si>
  <si>
    <t>Min N Conc (kg/kg)</t>
  </si>
  <si>
    <t>Crop N Conc (kg/kg)</t>
  </si>
  <si>
    <t>Soil Evap (mm)</t>
  </si>
  <si>
    <t>Pot Green Canopy Cover</t>
  </si>
  <si>
    <t>Pot Biomass (kg/ha)</t>
  </si>
  <si>
    <t>Pot crop Transpiration (mm/day)</t>
  </si>
  <si>
    <t>Matter</t>
  </si>
  <si>
    <t>Cmin (kg/kg)</t>
  </si>
  <si>
    <t>Active Uptake</t>
  </si>
  <si>
    <t>(kgN/kgH2O)</t>
  </si>
  <si>
    <t>Km</t>
  </si>
  <si>
    <t>Automatic Irrigation for the Prediction of Future Irrigation Events</t>
  </si>
  <si>
    <t xml:space="preserve"> Critical N concentration at emergence  (kg/kg) (Default: Use Ncrit = 0.62*Nmax)</t>
  </si>
  <si>
    <t>Silage Corn</t>
  </si>
  <si>
    <t xml:space="preserve">  Cumulative Deep Drainage(mm)</t>
  </si>
  <si>
    <t xml:space="preserve">  Cumulative N Leaching (kg/ha)</t>
  </si>
  <si>
    <t xml:space="preserve">  Cumulative mineralization, 0.0 m - 0.3 m soil layer (kg/ha)</t>
  </si>
  <si>
    <t xml:space="preserve">  Cumulative mineralization, 0.3 m - 0.6 m soil layer (kg/ha)</t>
  </si>
  <si>
    <t xml:space="preserve">  Residual soil profile nitrate (kg/ha)</t>
  </si>
  <si>
    <t xml:space="preserve">  Residual soil profile ammonium (kg/ha)</t>
  </si>
  <si>
    <t xml:space="preserve">  Cumulative irrigation (mm)</t>
  </si>
  <si>
    <t xml:space="preserve">  Cumulative N fertilization (kg/ha)</t>
  </si>
  <si>
    <t xml:space="preserve">    DOY</t>
  </si>
  <si>
    <t xml:space="preserve">     (mm)</t>
  </si>
  <si>
    <t>DAE</t>
  </si>
  <si>
    <t>Crop WSI (0-1)</t>
  </si>
  <si>
    <t>Crop NSI (0-1)</t>
  </si>
  <si>
    <t>CROP 1 OUTPUT (From emergence to maturity)</t>
  </si>
  <si>
    <t>TOTALS FOR SIMULATION PERIOD</t>
  </si>
  <si>
    <t>Irrigation Triger</t>
  </si>
  <si>
    <t xml:space="preserve"> (1: PAW, 2: CWSI)</t>
  </si>
  <si>
    <t>START</t>
  </si>
  <si>
    <t>STOP</t>
  </si>
  <si>
    <t>Number of Entries</t>
  </si>
  <si>
    <t>(START/STOP/REFILL)</t>
  </si>
  <si>
    <t>REFILL</t>
  </si>
  <si>
    <t>Refill Soil Depth</t>
  </si>
  <si>
    <t>(m)</t>
  </si>
  <si>
    <t>&lt;---  Enter First Simulation Date</t>
  </si>
  <si>
    <t>Auto Irrigation (*)</t>
  </si>
  <si>
    <t xml:space="preserve"> Max. PAW Depletion</t>
  </si>
  <si>
    <t xml:space="preserve">  CWSI</t>
  </si>
  <si>
    <t xml:space="preserve"> The specified date is the beginning of auto irrigation. Select PAW (Plant Available Water Depletion) or CWSI (Crop Water Stress Index) to trigger irrigation.</t>
  </si>
  <si>
    <t>(*) Auto Irrrigation options (Use only capital letters):</t>
  </si>
  <si>
    <t>Soil N Conc</t>
  </si>
  <si>
    <t xml:space="preserve">    (kg/ha)</t>
  </si>
  <si>
    <t xml:space="preserve">  Seasonal Transpiration (mm)</t>
  </si>
  <si>
    <t xml:space="preserve">  Seasonal N Uptake (kg/ha)</t>
  </si>
  <si>
    <t xml:space="preserve">  Seasonal Potential Biomass (kg/ha)</t>
  </si>
  <si>
    <t xml:space="preserve">  Seasonal Actual Biomass (kg/ha)</t>
  </si>
  <si>
    <t xml:space="preserve"> The soil profile is wetted to field capacity on the specified date (only one event). Only the Refill Soil Depth is required.</t>
  </si>
  <si>
    <t xml:space="preserve"> The specified date marks the end of the period of auto irrigation. No other entries are needed.</t>
  </si>
  <si>
    <t>Crop #</t>
  </si>
  <si>
    <t xml:space="preserve">                 ************** The start of auto irrigation will be reset to the day of the last scheduled irrigation plus one day *****************</t>
  </si>
  <si>
    <t>N Uptake Rate (kg/ha/day)</t>
  </si>
  <si>
    <t>PAW Depletion Top 50 cm (0-1)</t>
  </si>
  <si>
    <t>PAW Depletion Mid 50 cm (0-1)</t>
  </si>
  <si>
    <t>PAW Depletion Profile (0-1)</t>
  </si>
  <si>
    <t>PAW Depletion bottom 50 cm (0-1)</t>
  </si>
  <si>
    <t>N Mass Top 50 cm (kg/ha)</t>
  </si>
  <si>
    <t>N Mass Mid 50 cm (kg/ha)</t>
  </si>
  <si>
    <t>N Mass bottom 50 cm (kg/ha)</t>
  </si>
  <si>
    <t>N Leaching (kg/ha)</t>
  </si>
  <si>
    <t>DAY</t>
  </si>
  <si>
    <t>Water (m/m)</t>
  </si>
  <si>
    <t>NO3-N (kg/ha)</t>
  </si>
  <si>
    <t>NH4-N (kg/ha)</t>
  </si>
  <si>
    <t>Mineralized-N (kg/ha)</t>
  </si>
  <si>
    <t>Soil N Mass down to 150 cm (kg/ha)</t>
  </si>
  <si>
    <t>MyFarm</t>
  </si>
  <si>
    <t xml:space="preserve">  Seasonal Soil Water Evaporation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</si>
</sst>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8"/>
      <color rgb="FF000000"/>
      <name val="Aptos Narrow"/>
      <family val="2"/>
    </font>
    <font>
      <sz val="11"/>
      <color rgb="FF9C57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2">
    <xf numFmtId="0" fontId="0" fillId="0" borderId="0"/>
    <xf numFmtId="0" fontId="9" fillId="13" borderId="0" applyNumberFormat="0" applyBorder="0" applyAlignment="0" applyProtection="0"/>
  </cellStyleXfs>
  <cellXfs count="114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0" borderId="0" xfId="0" applyFont="1"/>
    <xf numFmtId="0" fontId="4" fillId="3" borderId="0" xfId="0" applyFont="1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/>
    <xf numFmtId="14" fontId="0" fillId="0" borderId="2" xfId="0" applyNumberFormat="1" applyBorder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4" xfId="0" applyNumberFormat="1" applyBorder="1"/>
    <xf numFmtId="14" fontId="0" fillId="0" borderId="4" xfId="0" applyNumberFormat="1" applyBorder="1"/>
    <xf numFmtId="0" fontId="0" fillId="0" borderId="8" xfId="0" applyBorder="1"/>
    <xf numFmtId="0" fontId="0" fillId="0" borderId="7" xfId="0" applyBorder="1"/>
    <xf numFmtId="0" fontId="1" fillId="6" borderId="9" xfId="0" applyFont="1" applyFill="1" applyBorder="1" applyAlignment="1">
      <alignment horizontal="left"/>
    </xf>
    <xf numFmtId="0" fontId="0" fillId="6" borderId="10" xfId="0" applyFill="1" applyBorder="1"/>
    <xf numFmtId="0" fontId="1" fillId="6" borderId="11" xfId="0" applyFont="1" applyFill="1" applyBorder="1" applyAlignment="1">
      <alignment horizontal="left"/>
    </xf>
    <xf numFmtId="0" fontId="0" fillId="6" borderId="12" xfId="0" applyFill="1" applyBorder="1"/>
    <xf numFmtId="0" fontId="1" fillId="5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0" fillId="0" borderId="0" xfId="0" quotePrefix="1"/>
    <xf numFmtId="14" fontId="0" fillId="0" borderId="13" xfId="0" applyNumberFormat="1" applyBorder="1"/>
    <xf numFmtId="0" fontId="0" fillId="0" borderId="17" xfId="0" applyBorder="1"/>
    <xf numFmtId="0" fontId="0" fillId="0" borderId="18" xfId="0" applyBorder="1"/>
    <xf numFmtId="0" fontId="1" fillId="4" borderId="4" xfId="0" applyFont="1" applyFill="1" applyBorder="1" applyAlignment="1">
      <alignment horizontal="center"/>
    </xf>
    <xf numFmtId="0" fontId="0" fillId="0" borderId="19" xfId="0" applyBorder="1"/>
    <xf numFmtId="0" fontId="5" fillId="4" borderId="20" xfId="0" applyFont="1" applyFill="1" applyBorder="1"/>
    <xf numFmtId="0" fontId="0" fillId="4" borderId="21" xfId="0" applyFill="1" applyBorder="1"/>
    <xf numFmtId="0" fontId="1" fillId="7" borderId="0" xfId="0" applyFont="1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0" borderId="0" xfId="0" applyAlignment="1">
      <alignment horizontal="left"/>
    </xf>
    <xf numFmtId="0" fontId="0" fillId="8" borderId="13" xfId="0" applyFill="1" applyBorder="1"/>
    <xf numFmtId="0" fontId="0" fillId="8" borderId="22" xfId="0" applyFill="1" applyBorder="1"/>
    <xf numFmtId="0" fontId="0" fillId="8" borderId="17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19" xfId="0" applyFill="1" applyBorder="1"/>
    <xf numFmtId="0" fontId="1" fillId="5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6" fillId="0" borderId="0" xfId="0" applyFont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6" xfId="0" applyFont="1" applyBorder="1"/>
    <xf numFmtId="0" fontId="1" fillId="0" borderId="25" xfId="0" applyFont="1" applyBorder="1"/>
    <xf numFmtId="0" fontId="1" fillId="0" borderId="26" xfId="0" applyFont="1" applyBorder="1"/>
    <xf numFmtId="0" fontId="1" fillId="0" borderId="27" xfId="0" applyFont="1" applyBorder="1"/>
    <xf numFmtId="0" fontId="1" fillId="0" borderId="28" xfId="0" applyFont="1" applyBorder="1"/>
    <xf numFmtId="0" fontId="1" fillId="0" borderId="29" xfId="0" applyFont="1" applyBorder="1"/>
    <xf numFmtId="0" fontId="0" fillId="2" borderId="4" xfId="0" applyFill="1" applyBorder="1" applyAlignment="1">
      <alignment horizontal="center"/>
    </xf>
    <xf numFmtId="0" fontId="1" fillId="5" borderId="20" xfId="0" applyFont="1" applyFill="1" applyBorder="1"/>
    <xf numFmtId="0" fontId="1" fillId="5" borderId="30" xfId="0" applyFont="1" applyFill="1" applyBorder="1"/>
    <xf numFmtId="0" fontId="1" fillId="5" borderId="21" xfId="0" applyFont="1" applyFill="1" applyBorder="1"/>
    <xf numFmtId="11" fontId="0" fillId="0" borderId="0" xfId="0" applyNumberFormat="1"/>
    <xf numFmtId="0" fontId="7" fillId="0" borderId="0" xfId="0" applyFont="1"/>
    <xf numFmtId="164" fontId="0" fillId="0" borderId="0" xfId="0" applyNumberFormat="1"/>
    <xf numFmtId="0" fontId="1" fillId="0" borderId="33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0" borderId="34" xfId="0" applyFill="1" applyBorder="1"/>
    <xf numFmtId="0" fontId="0" fillId="0" borderId="35" xfId="0" applyBorder="1"/>
    <xf numFmtId="0" fontId="0" fillId="0" borderId="36" xfId="0" applyBorder="1"/>
    <xf numFmtId="0" fontId="0" fillId="10" borderId="37" xfId="0" applyFill="1" applyBorder="1"/>
    <xf numFmtId="0" fontId="0" fillId="0" borderId="38" xfId="0" applyBorder="1"/>
    <xf numFmtId="0" fontId="0" fillId="10" borderId="39" xfId="0" applyFill="1" applyBorder="1"/>
    <xf numFmtId="0" fontId="0" fillId="0" borderId="40" xfId="0" applyBorder="1"/>
    <xf numFmtId="0" fontId="0" fillId="0" borderId="41" xfId="0" applyBorder="1"/>
    <xf numFmtId="14" fontId="0" fillId="0" borderId="3" xfId="0" applyNumberFormat="1" applyBorder="1"/>
    <xf numFmtId="0" fontId="1" fillId="0" borderId="0" xfId="0" applyFont="1" applyAlignment="1">
      <alignment horizontal="center"/>
    </xf>
    <xf numFmtId="14" fontId="0" fillId="0" borderId="31" xfId="0" applyNumberFormat="1" applyBorder="1"/>
    <xf numFmtId="14" fontId="0" fillId="0" borderId="32" xfId="0" applyNumberFormat="1" applyBorder="1"/>
    <xf numFmtId="0" fontId="1" fillId="4" borderId="31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0" fillId="0" borderId="33" xfId="0" applyBorder="1"/>
    <xf numFmtId="0" fontId="0" fillId="4" borderId="9" xfId="0" applyFill="1" applyBorder="1"/>
    <xf numFmtId="0" fontId="1" fillId="4" borderId="10" xfId="0" applyFont="1" applyFill="1" applyBorder="1"/>
    <xf numFmtId="0" fontId="0" fillId="4" borderId="10" xfId="0" applyFill="1" applyBorder="1"/>
    <xf numFmtId="0" fontId="0" fillId="4" borderId="12" xfId="0" applyFill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/>
    <xf numFmtId="0" fontId="1" fillId="3" borderId="9" xfId="0" applyFont="1" applyFill="1" applyBorder="1"/>
    <xf numFmtId="0" fontId="0" fillId="3" borderId="10" xfId="0" applyFill="1" applyBorder="1"/>
    <xf numFmtId="0" fontId="0" fillId="3" borderId="12" xfId="0" applyFill="1" applyBorder="1"/>
    <xf numFmtId="0" fontId="0" fillId="0" borderId="0" xfId="0" applyBorder="1"/>
    <xf numFmtId="0" fontId="9" fillId="13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Canopy Cover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Output'!$C$1</c:f>
              <c:strCache>
                <c:ptCount val="1"/>
                <c:pt idx="0">
                  <c:v>Pot Green Canopy Cover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Output'!$C$2:$C$285</c:f>
              <c:numCache>
                <c:formatCode>General</c:formatCode>
                <c:ptCount val="284"/>
                <c:pt idx="0">
                  <c:v>2.8665017299828999E-2</c:v>
                </c:pt>
                <c:pt idx="1">
                  <c:v>3.031548619629643E-2</c:v>
                </c:pt>
                <c:pt idx="2">
                  <c:v>3.2275380605783173E-2</c:v>
                </c:pt>
                <c:pt idx="3">
                  <c:v>3.4600660725590475E-2</c:v>
                </c:pt>
                <c:pt idx="4">
                  <c:v>3.735656318953183E-2</c:v>
                </c:pt>
                <c:pt idx="5">
                  <c:v>4.0618791372141777E-2</c:v>
                </c:pt>
                <c:pt idx="6">
                  <c:v>4.4474710980931975E-2</c:v>
                </c:pt>
                <c:pt idx="7">
                  <c:v>4.9024475805654694E-2</c:v>
                </c:pt>
                <c:pt idx="8">
                  <c:v>5.4381973244739097E-2</c:v>
                </c:pt>
                <c:pt idx="9">
                  <c:v>6.0675434884682564E-2</c:v>
                </c:pt>
                <c:pt idx="10">
                  <c:v>6.8047504443229268E-2</c:v>
                </c:pt>
                <c:pt idx="11">
                  <c:v>7.6654496471310007E-2</c:v>
                </c:pt>
                <c:pt idx="12">
                  <c:v>8.6664520557537844E-2</c:v>
                </c:pt>
                <c:pt idx="13">
                  <c:v>9.8254098747095051E-2</c:v>
                </c:pt>
                <c:pt idx="14">
                  <c:v>0.11160288643562996</c:v>
                </c:pt>
                <c:pt idx="15">
                  <c:v>0.1268861442710848</c:v>
                </c:pt>
                <c:pt idx="16">
                  <c:v>0.14426473132592016</c:v>
                </c:pt>
                <c:pt idx="17">
                  <c:v>0.16387262888867041</c:v>
                </c:pt>
                <c:pt idx="18">
                  <c:v>0.1858023799469373</c:v>
                </c:pt>
                <c:pt idx="19">
                  <c:v>0.21008933513051631</c:v>
                </c:pt>
                <c:pt idx="20">
                  <c:v>0.23669617906127693</c:v>
                </c:pt>
                <c:pt idx="21">
                  <c:v>0.26549975969351641</c:v>
                </c:pt>
                <c:pt idx="22">
                  <c:v>0.29628258946141001</c:v>
                </c:pt>
                <c:pt idx="23">
                  <c:v>0.32873134048963809</c:v>
                </c:pt>
                <c:pt idx="24">
                  <c:v>0.36244406989035483</c:v>
                </c:pt>
                <c:pt idx="25">
                  <c:v>0.39694676442446919</c:v>
                </c:pt>
                <c:pt idx="26">
                  <c:v>0.43171825287535975</c:v>
                </c:pt>
                <c:pt idx="27">
                  <c:v>0.46622094740947428</c:v>
                </c:pt>
                <c:pt idx="28">
                  <c:v>0.49993367681019102</c:v>
                </c:pt>
                <c:pt idx="29">
                  <c:v>0.53238242783841905</c:v>
                </c:pt>
                <c:pt idx="30">
                  <c:v>0.56316525760631264</c:v>
                </c:pt>
                <c:pt idx="31">
                  <c:v>0.59196883823855206</c:v>
                </c:pt>
                <c:pt idx="32">
                  <c:v>0.61857568216931269</c:v>
                </c:pt>
                <c:pt idx="33">
                  <c:v>0.64286263735289195</c:v>
                </c:pt>
                <c:pt idx="34">
                  <c:v>0.66479238841115873</c:v>
                </c:pt>
                <c:pt idx="35">
                  <c:v>0.6844002859739089</c:v>
                </c:pt>
                <c:pt idx="36">
                  <c:v>0.70177887302874431</c:v>
                </c:pt>
                <c:pt idx="37">
                  <c:v>0.71706213086419912</c:v>
                </c:pt>
                <c:pt idx="38">
                  <c:v>0.7304109185527341</c:v>
                </c:pt>
                <c:pt idx="39">
                  <c:v>0.74200049674229118</c:v>
                </c:pt>
                <c:pt idx="40">
                  <c:v>0.75201052082851905</c:v>
                </c:pt>
                <c:pt idx="41">
                  <c:v>0.76061751285659984</c:v>
                </c:pt>
                <c:pt idx="42">
                  <c:v>0.76798958241514648</c:v>
                </c:pt>
                <c:pt idx="43">
                  <c:v>0.77428304405508996</c:v>
                </c:pt>
                <c:pt idx="44">
                  <c:v>0.77964054149417439</c:v>
                </c:pt>
                <c:pt idx="45">
                  <c:v>0.78419030631889708</c:v>
                </c:pt>
                <c:pt idx="46">
                  <c:v>0.78804622592768736</c:v>
                </c:pt>
                <c:pt idx="47">
                  <c:v>0.79130845411029727</c:v>
                </c:pt>
                <c:pt idx="48">
                  <c:v>0.79406435657423857</c:v>
                </c:pt>
                <c:pt idx="49">
                  <c:v>0.79638963669404594</c:v>
                </c:pt>
                <c:pt idx="50">
                  <c:v>0.79834953110353268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0.79990127215673068</c:v>
                </c:pt>
                <c:pt idx="83">
                  <c:v>0.79691858185439279</c:v>
                </c:pt>
                <c:pt idx="84">
                  <c:v>0.79296533739680131</c:v>
                </c:pt>
                <c:pt idx="85">
                  <c:v>0.78774059533742791</c:v>
                </c:pt>
                <c:pt idx="86">
                  <c:v>0.78086127619456547</c:v>
                </c:pt>
                <c:pt idx="87">
                  <c:v>0.77184804773842763</c:v>
                </c:pt>
                <c:pt idx="88">
                  <c:v>0.76011512543206383</c:v>
                </c:pt>
                <c:pt idx="89">
                  <c:v>0.74496979238249172</c:v>
                </c:pt>
                <c:pt idx="90">
                  <c:v>0.72563045777350488</c:v>
                </c:pt>
                <c:pt idx="91">
                  <c:v>0.70127484767430204</c:v>
                </c:pt>
                <c:pt idx="92">
                  <c:v>0.67113041549063779</c:v>
                </c:pt>
                <c:pt idx="93">
                  <c:v>0.63461379170326004</c:v>
                </c:pt>
                <c:pt idx="94">
                  <c:v>0.59151115827575684</c:v>
                </c:pt>
                <c:pt idx="95">
                  <c:v>0.5421659752117941</c:v>
                </c:pt>
                <c:pt idx="96">
                  <c:v>0.48761224272084092</c:v>
                </c:pt>
                <c:pt idx="97">
                  <c:v>0.42957950597741984</c:v>
                </c:pt>
                <c:pt idx="98">
                  <c:v>0.37032176617931084</c:v>
                </c:pt>
                <c:pt idx="99">
                  <c:v>0.31228902943588976</c:v>
                </c:pt>
                <c:pt idx="100">
                  <c:v>0.25773529694493635</c:v>
                </c:pt>
                <c:pt idx="101">
                  <c:v>0.20839011388097384</c:v>
                </c:pt>
                <c:pt idx="102">
                  <c:v>0.16528748045347055</c:v>
                </c:pt>
                <c:pt idx="103">
                  <c:v>0.12877085666609284</c:v>
                </c:pt>
                <c:pt idx="104">
                  <c:v>9.8626424482428615E-2</c:v>
                </c:pt>
                <c:pt idx="105">
                  <c:v>7.4270814383225761E-2</c:v>
                </c:pt>
                <c:pt idx="106">
                  <c:v>5.4931479774239012E-2</c:v>
                </c:pt>
                <c:pt idx="107">
                  <c:v>3.9786146724666807E-2</c:v>
                </c:pt>
                <c:pt idx="108">
                  <c:v>2.8053224418302998E-2</c:v>
                </c:pt>
                <c:pt idx="109">
                  <c:v>1.9039995962165272E-2</c:v>
                </c:pt>
                <c:pt idx="110">
                  <c:v>1.2160676819302774E-2</c:v>
                </c:pt>
                <c:pt idx="111">
                  <c:v>6.9359347599293776E-3</c:v>
                </c:pt>
                <c:pt idx="112">
                  <c:v>2.9826903023379087E-3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0-4914-9C5E-BDC418ADF5F2}"/>
            </c:ext>
          </c:extLst>
        </c:ser>
        <c:ser>
          <c:idx val="1"/>
          <c:order val="1"/>
          <c:tx>
            <c:strRef>
              <c:f>'Crop One Output'!$F$1</c:f>
              <c:strCache>
                <c:ptCount val="1"/>
                <c:pt idx="0">
                  <c:v>Green Canopy Cover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Output'!$F$2:$F$285</c:f>
              <c:numCache>
                <c:formatCode>General</c:formatCode>
                <c:ptCount val="284"/>
                <c:pt idx="0">
                  <c:v>2.8665017299828999E-2</c:v>
                </c:pt>
                <c:pt idx="1">
                  <c:v>3.031548619629643E-2</c:v>
                </c:pt>
                <c:pt idx="2">
                  <c:v>3.2275380605783173E-2</c:v>
                </c:pt>
                <c:pt idx="3">
                  <c:v>3.4600660725590475E-2</c:v>
                </c:pt>
                <c:pt idx="4">
                  <c:v>3.735656318953183E-2</c:v>
                </c:pt>
                <c:pt idx="5">
                  <c:v>4.0618791372141777E-2</c:v>
                </c:pt>
                <c:pt idx="6">
                  <c:v>4.4474710980931975E-2</c:v>
                </c:pt>
                <c:pt idx="7">
                  <c:v>4.9024475805654694E-2</c:v>
                </c:pt>
                <c:pt idx="8">
                  <c:v>5.4381973244739097E-2</c:v>
                </c:pt>
                <c:pt idx="9">
                  <c:v>6.0675434884682564E-2</c:v>
                </c:pt>
                <c:pt idx="10">
                  <c:v>6.8047504443229268E-2</c:v>
                </c:pt>
                <c:pt idx="11">
                  <c:v>7.6654496471310007E-2</c:v>
                </c:pt>
                <c:pt idx="12">
                  <c:v>8.6664520557537844E-2</c:v>
                </c:pt>
                <c:pt idx="13">
                  <c:v>9.8254098747095051E-2</c:v>
                </c:pt>
                <c:pt idx="14">
                  <c:v>0.11160288643562996</c:v>
                </c:pt>
                <c:pt idx="15">
                  <c:v>0.1268861442710848</c:v>
                </c:pt>
                <c:pt idx="16">
                  <c:v>0.14426473132592016</c:v>
                </c:pt>
                <c:pt idx="17">
                  <c:v>0.16387262888867041</c:v>
                </c:pt>
                <c:pt idx="18">
                  <c:v>0.1858023799469373</c:v>
                </c:pt>
                <c:pt idx="19">
                  <c:v>0.21008933513051631</c:v>
                </c:pt>
                <c:pt idx="20">
                  <c:v>0.23669617906127693</c:v>
                </c:pt>
                <c:pt idx="21">
                  <c:v>0.26549975969351641</c:v>
                </c:pt>
                <c:pt idx="22">
                  <c:v>0.29628258946141001</c:v>
                </c:pt>
                <c:pt idx="23">
                  <c:v>0.32873134048963809</c:v>
                </c:pt>
                <c:pt idx="24">
                  <c:v>0.36244406989035483</c:v>
                </c:pt>
                <c:pt idx="25">
                  <c:v>0.39694676442446919</c:v>
                </c:pt>
                <c:pt idx="26">
                  <c:v>0.43171825287535975</c:v>
                </c:pt>
                <c:pt idx="27">
                  <c:v>0.46622094740947428</c:v>
                </c:pt>
                <c:pt idx="28">
                  <c:v>0.49993367681019102</c:v>
                </c:pt>
                <c:pt idx="29">
                  <c:v>0.53238242783841905</c:v>
                </c:pt>
                <c:pt idx="30">
                  <c:v>0.56316525760631264</c:v>
                </c:pt>
                <c:pt idx="31">
                  <c:v>0.59196883823855206</c:v>
                </c:pt>
                <c:pt idx="32">
                  <c:v>0.61857568216931269</c:v>
                </c:pt>
                <c:pt idx="33">
                  <c:v>0.64286263735289195</c:v>
                </c:pt>
                <c:pt idx="34">
                  <c:v>0.66479238841115873</c:v>
                </c:pt>
                <c:pt idx="35">
                  <c:v>0.6844002859739089</c:v>
                </c:pt>
                <c:pt idx="36">
                  <c:v>0.70177887302874431</c:v>
                </c:pt>
                <c:pt idx="37">
                  <c:v>0.71706213086419912</c:v>
                </c:pt>
                <c:pt idx="38">
                  <c:v>0.7304109185527341</c:v>
                </c:pt>
                <c:pt idx="39">
                  <c:v>0.74200049674229118</c:v>
                </c:pt>
                <c:pt idx="40">
                  <c:v>0.75201052082851905</c:v>
                </c:pt>
                <c:pt idx="41">
                  <c:v>0.76061751285659984</c:v>
                </c:pt>
                <c:pt idx="42">
                  <c:v>0.76798958241514648</c:v>
                </c:pt>
                <c:pt idx="43">
                  <c:v>0.77428304405508996</c:v>
                </c:pt>
                <c:pt idx="44">
                  <c:v>0.77964054149417439</c:v>
                </c:pt>
                <c:pt idx="45">
                  <c:v>0.78419030631889708</c:v>
                </c:pt>
                <c:pt idx="46">
                  <c:v>0.78804622592768736</c:v>
                </c:pt>
                <c:pt idx="47">
                  <c:v>0.79130845411029727</c:v>
                </c:pt>
                <c:pt idx="48">
                  <c:v>0.79406435657423857</c:v>
                </c:pt>
                <c:pt idx="49">
                  <c:v>0.79638963669404594</c:v>
                </c:pt>
                <c:pt idx="50">
                  <c:v>0.79834953110353268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0.79990127215673068</c:v>
                </c:pt>
                <c:pt idx="83">
                  <c:v>0.79691858185439279</c:v>
                </c:pt>
                <c:pt idx="84">
                  <c:v>0.79296533739680131</c:v>
                </c:pt>
                <c:pt idx="85">
                  <c:v>0.78774059533742791</c:v>
                </c:pt>
                <c:pt idx="86">
                  <c:v>0.78086127619456547</c:v>
                </c:pt>
                <c:pt idx="87">
                  <c:v>0.77184804773842763</c:v>
                </c:pt>
                <c:pt idx="88">
                  <c:v>0.76011512543206383</c:v>
                </c:pt>
                <c:pt idx="89">
                  <c:v>0.74496979238249172</c:v>
                </c:pt>
                <c:pt idx="90">
                  <c:v>0.72563045777350488</c:v>
                </c:pt>
                <c:pt idx="91">
                  <c:v>0.70127484767430204</c:v>
                </c:pt>
                <c:pt idx="92">
                  <c:v>0.67113041549063779</c:v>
                </c:pt>
                <c:pt idx="93">
                  <c:v>0.63461379170326004</c:v>
                </c:pt>
                <c:pt idx="94">
                  <c:v>0.59151115827575684</c:v>
                </c:pt>
                <c:pt idx="95">
                  <c:v>0.5421659752117941</c:v>
                </c:pt>
                <c:pt idx="96">
                  <c:v>0.48761224272084092</c:v>
                </c:pt>
                <c:pt idx="97">
                  <c:v>0.42957950597741984</c:v>
                </c:pt>
                <c:pt idx="98">
                  <c:v>0.37032176617931084</c:v>
                </c:pt>
                <c:pt idx="99">
                  <c:v>0.31228902943588976</c:v>
                </c:pt>
                <c:pt idx="100">
                  <c:v>0.25773529694493635</c:v>
                </c:pt>
                <c:pt idx="101">
                  <c:v>0.20839011388097384</c:v>
                </c:pt>
                <c:pt idx="102">
                  <c:v>0.16528748045347055</c:v>
                </c:pt>
                <c:pt idx="103">
                  <c:v>0.12877085666609284</c:v>
                </c:pt>
                <c:pt idx="104">
                  <c:v>9.8626424482428615E-2</c:v>
                </c:pt>
                <c:pt idx="105">
                  <c:v>7.4270814383225761E-2</c:v>
                </c:pt>
                <c:pt idx="106">
                  <c:v>5.4931479774239012E-2</c:v>
                </c:pt>
                <c:pt idx="107">
                  <c:v>3.9786146724666807E-2</c:v>
                </c:pt>
                <c:pt idx="108">
                  <c:v>2.8053224418302998E-2</c:v>
                </c:pt>
                <c:pt idx="109">
                  <c:v>1.9039995962165272E-2</c:v>
                </c:pt>
                <c:pt idx="110">
                  <c:v>1.2160676819302774E-2</c:v>
                </c:pt>
                <c:pt idx="111">
                  <c:v>6.9359347599293776E-3</c:v>
                </c:pt>
                <c:pt idx="112">
                  <c:v>2.9826903023379087E-3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10-4914-9C5E-BDC418ADF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39904"/>
        <c:axId val="15441344"/>
      </c:scatterChart>
      <c:valAx>
        <c:axId val="1543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1344"/>
        <c:crosses val="autoZero"/>
        <c:crossBetween val="midCat"/>
      </c:valAx>
      <c:valAx>
        <c:axId val="1544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Output'!$E$1</c:f>
              <c:strCache>
                <c:ptCount val="1"/>
                <c:pt idx="0">
                  <c:v>Pot Biomass (kg/ha)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Output'!$E$2:$E$285</c:f>
              <c:numCache>
                <c:formatCode>General</c:formatCode>
                <c:ptCount val="284"/>
                <c:pt idx="0">
                  <c:v>25.941552178043551</c:v>
                </c:pt>
                <c:pt idx="1">
                  <c:v>33.925538428480245</c:v>
                </c:pt>
                <c:pt idx="2">
                  <c:v>41.948051329245743</c:v>
                </c:pt>
                <c:pt idx="3">
                  <c:v>49.479417726344366</c:v>
                </c:pt>
                <c:pt idx="4">
                  <c:v>60.160076458794819</c:v>
                </c:pt>
                <c:pt idx="5">
                  <c:v>69.522444691530666</c:v>
                </c:pt>
                <c:pt idx="6">
                  <c:v>79.845947596337638</c:v>
                </c:pt>
                <c:pt idx="7">
                  <c:v>96.271498405795427</c:v>
                </c:pt>
                <c:pt idx="8">
                  <c:v>112.94127155247439</c:v>
                </c:pt>
                <c:pt idx="9">
                  <c:v>127.55147291630672</c:v>
                </c:pt>
                <c:pt idx="10">
                  <c:v>146.66109375243781</c:v>
                </c:pt>
                <c:pt idx="11">
                  <c:v>171.06383179677405</c:v>
                </c:pt>
                <c:pt idx="12">
                  <c:v>197.70960652552199</c:v>
                </c:pt>
                <c:pt idx="13">
                  <c:v>230.31744953385953</c:v>
                </c:pt>
                <c:pt idx="14">
                  <c:v>264.75390327315864</c:v>
                </c:pt>
                <c:pt idx="15">
                  <c:v>300.55753441585892</c:v>
                </c:pt>
                <c:pt idx="16">
                  <c:v>337.8149274278997</c:v>
                </c:pt>
                <c:pt idx="17">
                  <c:v>377.61085615644237</c:v>
                </c:pt>
                <c:pt idx="18">
                  <c:v>426.51913439712854</c:v>
                </c:pt>
                <c:pt idx="19">
                  <c:v>489.01217629562984</c:v>
                </c:pt>
                <c:pt idx="20">
                  <c:v>557.97752305860502</c:v>
                </c:pt>
                <c:pt idx="21">
                  <c:v>632.73152115187486</c:v>
                </c:pt>
                <c:pt idx="22">
                  <c:v>710.94446328167203</c:v>
                </c:pt>
                <c:pt idx="23">
                  <c:v>802.24177909168498</c:v>
                </c:pt>
                <c:pt idx="24">
                  <c:v>914.20323426965547</c:v>
                </c:pt>
                <c:pt idx="25">
                  <c:v>1037.2479216737909</c:v>
                </c:pt>
                <c:pt idx="26">
                  <c:v>1161.9458268983064</c:v>
                </c:pt>
                <c:pt idx="27">
                  <c:v>1292.9671114819741</c:v>
                </c:pt>
                <c:pt idx="28">
                  <c:v>1426.0267856711473</c:v>
                </c:pt>
                <c:pt idx="29">
                  <c:v>1587.4369849994982</c:v>
                </c:pt>
                <c:pt idx="30">
                  <c:v>1748.1208332757521</c:v>
                </c:pt>
                <c:pt idx="31">
                  <c:v>1906.9746134724087</c:v>
                </c:pt>
                <c:pt idx="32">
                  <c:v>2102.0581795261355</c:v>
                </c:pt>
                <c:pt idx="33">
                  <c:v>2283.0567322983716</c:v>
                </c:pt>
                <c:pt idx="34">
                  <c:v>2474.4512468983071</c:v>
                </c:pt>
                <c:pt idx="35">
                  <c:v>2681.7678206318064</c:v>
                </c:pt>
                <c:pt idx="36">
                  <c:v>2873.4074204372982</c:v>
                </c:pt>
                <c:pt idx="37">
                  <c:v>3091.3480990995345</c:v>
                </c:pt>
                <c:pt idx="38">
                  <c:v>3305.894705094478</c:v>
                </c:pt>
                <c:pt idx="39">
                  <c:v>3519.7932413736849</c:v>
                </c:pt>
                <c:pt idx="40">
                  <c:v>3731.696839588531</c:v>
                </c:pt>
                <c:pt idx="41">
                  <c:v>3944.6165446182463</c:v>
                </c:pt>
                <c:pt idx="42">
                  <c:v>4180.5150142864723</c:v>
                </c:pt>
                <c:pt idx="43">
                  <c:v>4397.4017922164658</c:v>
                </c:pt>
                <c:pt idx="44">
                  <c:v>4554.9813787942894</c:v>
                </c:pt>
                <c:pt idx="45">
                  <c:v>4805.4699290105109</c:v>
                </c:pt>
                <c:pt idx="46">
                  <c:v>5028.1741389303288</c:v>
                </c:pt>
                <c:pt idx="47">
                  <c:v>5281.7982170467585</c:v>
                </c:pt>
                <c:pt idx="48">
                  <c:v>5534.6700004597351</c:v>
                </c:pt>
                <c:pt idx="49">
                  <c:v>5774.0324713234349</c:v>
                </c:pt>
                <c:pt idx="50">
                  <c:v>5965.0989262445964</c:v>
                </c:pt>
                <c:pt idx="51">
                  <c:v>6198.7898171350053</c:v>
                </c:pt>
                <c:pt idx="52">
                  <c:v>6438.8193277288165</c:v>
                </c:pt>
                <c:pt idx="53">
                  <c:v>6672.5638488399545</c:v>
                </c:pt>
                <c:pt idx="54">
                  <c:v>6916.2369128691244</c:v>
                </c:pt>
                <c:pt idx="55">
                  <c:v>7132.3540743961785</c:v>
                </c:pt>
                <c:pt idx="56">
                  <c:v>7343.2489747801365</c:v>
                </c:pt>
                <c:pt idx="57">
                  <c:v>7555.6799658434538</c:v>
                </c:pt>
                <c:pt idx="58">
                  <c:v>7794.8585941519459</c:v>
                </c:pt>
                <c:pt idx="59">
                  <c:v>8028.2828980888889</c:v>
                </c:pt>
                <c:pt idx="60">
                  <c:v>8254.1866213984867</c:v>
                </c:pt>
                <c:pt idx="61">
                  <c:v>8470.7319619462178</c:v>
                </c:pt>
                <c:pt idx="62">
                  <c:v>8680.2251806383974</c:v>
                </c:pt>
                <c:pt idx="63">
                  <c:v>8885.8679625595432</c:v>
                </c:pt>
                <c:pt idx="64">
                  <c:v>9082.5314938070387</c:v>
                </c:pt>
                <c:pt idx="65">
                  <c:v>9235.0991208118539</c:v>
                </c:pt>
                <c:pt idx="66">
                  <c:v>9448.3932058510509</c:v>
                </c:pt>
                <c:pt idx="67">
                  <c:v>9652.0113279954858</c:v>
                </c:pt>
                <c:pt idx="68">
                  <c:v>9863.604785374313</c:v>
                </c:pt>
                <c:pt idx="69">
                  <c:v>10059.465117657213</c:v>
                </c:pt>
                <c:pt idx="70">
                  <c:v>10257.327344515299</c:v>
                </c:pt>
                <c:pt idx="71">
                  <c:v>10460.286565408518</c:v>
                </c:pt>
                <c:pt idx="72">
                  <c:v>10666.231146624954</c:v>
                </c:pt>
                <c:pt idx="73">
                  <c:v>10871.966957737064</c:v>
                </c:pt>
                <c:pt idx="74">
                  <c:v>11086.141096765245</c:v>
                </c:pt>
                <c:pt idx="75">
                  <c:v>11308.481685506942</c:v>
                </c:pt>
                <c:pt idx="76">
                  <c:v>11552.466679976575</c:v>
                </c:pt>
                <c:pt idx="77">
                  <c:v>11764.348642429648</c:v>
                </c:pt>
                <c:pt idx="78">
                  <c:v>11956.648639583214</c:v>
                </c:pt>
                <c:pt idx="79">
                  <c:v>12134.574429601787</c:v>
                </c:pt>
                <c:pt idx="80">
                  <c:v>12326.444715924541</c:v>
                </c:pt>
                <c:pt idx="81">
                  <c:v>12508.090445320726</c:v>
                </c:pt>
                <c:pt idx="82">
                  <c:v>12699.926479136286</c:v>
                </c:pt>
                <c:pt idx="83">
                  <c:v>12907.123435349928</c:v>
                </c:pt>
                <c:pt idx="84">
                  <c:v>13084.674325051128</c:v>
                </c:pt>
                <c:pt idx="85">
                  <c:v>13261.529705704956</c:v>
                </c:pt>
                <c:pt idx="86">
                  <c:v>13443.131277003882</c:v>
                </c:pt>
                <c:pt idx="87">
                  <c:v>13566.288558225908</c:v>
                </c:pt>
                <c:pt idx="88">
                  <c:v>13742.044201492436</c:v>
                </c:pt>
                <c:pt idx="89">
                  <c:v>13923.812220134059</c:v>
                </c:pt>
                <c:pt idx="90">
                  <c:v>14080.71139960857</c:v>
                </c:pt>
                <c:pt idx="91">
                  <c:v>14259.682699511597</c:v>
                </c:pt>
                <c:pt idx="92">
                  <c:v>14394.537743452056</c:v>
                </c:pt>
                <c:pt idx="93">
                  <c:v>14545.977436894851</c:v>
                </c:pt>
                <c:pt idx="94">
                  <c:v>14664.637333116754</c:v>
                </c:pt>
                <c:pt idx="95">
                  <c:v>14760.73398941965</c:v>
                </c:pt>
                <c:pt idx="96">
                  <c:v>14872.825242028983</c:v>
                </c:pt>
                <c:pt idx="97">
                  <c:v>14960.120402029097</c:v>
                </c:pt>
                <c:pt idx="98">
                  <c:v>15031.713648192981</c:v>
                </c:pt>
                <c:pt idx="99">
                  <c:v>15096.093124311607</c:v>
                </c:pt>
                <c:pt idx="100">
                  <c:v>15131.7982113037</c:v>
                </c:pt>
                <c:pt idx="101">
                  <c:v>15162.237805597348</c:v>
                </c:pt>
                <c:pt idx="102">
                  <c:v>15202.135278050422</c:v>
                </c:pt>
                <c:pt idx="103">
                  <c:v>15226.768715102977</c:v>
                </c:pt>
                <c:pt idx="104">
                  <c:v>15245.865878438244</c:v>
                </c:pt>
                <c:pt idx="105">
                  <c:v>15259.569556068585</c:v>
                </c:pt>
                <c:pt idx="106">
                  <c:v>15269.822317289767</c:v>
                </c:pt>
                <c:pt idx="107">
                  <c:v>15276.945027816875</c:v>
                </c:pt>
                <c:pt idx="108">
                  <c:v>15282.058674702239</c:v>
                </c:pt>
                <c:pt idx="109">
                  <c:v>15285.870019778105</c:v>
                </c:pt>
                <c:pt idx="110">
                  <c:v>15288.145442657242</c:v>
                </c:pt>
                <c:pt idx="111">
                  <c:v>15289.248075412084</c:v>
                </c:pt>
                <c:pt idx="112">
                  <c:v>15289.597419619873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3C-4B8A-87F1-475E61AC23B5}"/>
            </c:ext>
          </c:extLst>
        </c:ser>
        <c:ser>
          <c:idx val="1"/>
          <c:order val="1"/>
          <c:tx>
            <c:strRef>
              <c:f>'Crop One Output'!$G$1</c:f>
              <c:strCache>
                <c:ptCount val="1"/>
                <c:pt idx="0">
                  <c:v>Biomass (kg/ha)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Output'!$G$2:$G$285</c:f>
              <c:numCache>
                <c:formatCode>General</c:formatCode>
                <c:ptCount val="284"/>
                <c:pt idx="0">
                  <c:v>25.941552178043551</c:v>
                </c:pt>
                <c:pt idx="1">
                  <c:v>33.925538428480245</c:v>
                </c:pt>
                <c:pt idx="2">
                  <c:v>41.948051329245743</c:v>
                </c:pt>
                <c:pt idx="3">
                  <c:v>49.479417726344366</c:v>
                </c:pt>
                <c:pt idx="4">
                  <c:v>60.160076458794819</c:v>
                </c:pt>
                <c:pt idx="5">
                  <c:v>69.522444691530666</c:v>
                </c:pt>
                <c:pt idx="6">
                  <c:v>79.845947596337638</c:v>
                </c:pt>
                <c:pt idx="7">
                  <c:v>96.271498405795427</c:v>
                </c:pt>
                <c:pt idx="8">
                  <c:v>112.94127155247439</c:v>
                </c:pt>
                <c:pt idx="9">
                  <c:v>127.55147291630672</c:v>
                </c:pt>
                <c:pt idx="10">
                  <c:v>146.66109375243781</c:v>
                </c:pt>
                <c:pt idx="11">
                  <c:v>171.06383179677405</c:v>
                </c:pt>
                <c:pt idx="12">
                  <c:v>197.70960652552199</c:v>
                </c:pt>
                <c:pt idx="13">
                  <c:v>230.3174495338595</c:v>
                </c:pt>
                <c:pt idx="14">
                  <c:v>264.75390327315864</c:v>
                </c:pt>
                <c:pt idx="15">
                  <c:v>300.55753441585892</c:v>
                </c:pt>
                <c:pt idx="16">
                  <c:v>337.8149274278997</c:v>
                </c:pt>
                <c:pt idx="17">
                  <c:v>377.61085615644237</c:v>
                </c:pt>
                <c:pt idx="18">
                  <c:v>426.51913439712854</c:v>
                </c:pt>
                <c:pt idx="19">
                  <c:v>489.01217629562984</c:v>
                </c:pt>
                <c:pt idx="20">
                  <c:v>557.97752305860502</c:v>
                </c:pt>
                <c:pt idx="21">
                  <c:v>632.73152115187486</c:v>
                </c:pt>
                <c:pt idx="22">
                  <c:v>710.94446328167203</c:v>
                </c:pt>
                <c:pt idx="23">
                  <c:v>802.24177909168498</c:v>
                </c:pt>
                <c:pt idx="24">
                  <c:v>914.20323426965547</c:v>
                </c:pt>
                <c:pt idx="25">
                  <c:v>1037.2479216737909</c:v>
                </c:pt>
                <c:pt idx="26">
                  <c:v>1161.9458268983064</c:v>
                </c:pt>
                <c:pt idx="27">
                  <c:v>1292.9671114819741</c:v>
                </c:pt>
                <c:pt idx="28">
                  <c:v>1426.0267856711473</c:v>
                </c:pt>
                <c:pt idx="29">
                  <c:v>1587.4369849994982</c:v>
                </c:pt>
                <c:pt idx="30">
                  <c:v>1748.1208332757521</c:v>
                </c:pt>
                <c:pt idx="31">
                  <c:v>1906.9746134724087</c:v>
                </c:pt>
                <c:pt idx="32">
                  <c:v>2102.0581795261355</c:v>
                </c:pt>
                <c:pt idx="33">
                  <c:v>2283.0567322983716</c:v>
                </c:pt>
                <c:pt idx="34">
                  <c:v>2474.4512468983071</c:v>
                </c:pt>
                <c:pt idx="35">
                  <c:v>2681.7678206318064</c:v>
                </c:pt>
                <c:pt idx="36">
                  <c:v>2873.4074204372982</c:v>
                </c:pt>
                <c:pt idx="37">
                  <c:v>3091.3480990995345</c:v>
                </c:pt>
                <c:pt idx="38">
                  <c:v>3305.894705094478</c:v>
                </c:pt>
                <c:pt idx="39">
                  <c:v>3519.7932413736849</c:v>
                </c:pt>
                <c:pt idx="40">
                  <c:v>3731.696839588531</c:v>
                </c:pt>
                <c:pt idx="41">
                  <c:v>3944.6165446182463</c:v>
                </c:pt>
                <c:pt idx="42">
                  <c:v>4180.5150142864723</c:v>
                </c:pt>
                <c:pt idx="43">
                  <c:v>4397.4017922164658</c:v>
                </c:pt>
                <c:pt idx="44">
                  <c:v>4554.9813787942894</c:v>
                </c:pt>
                <c:pt idx="45">
                  <c:v>4805.4699290105109</c:v>
                </c:pt>
                <c:pt idx="46">
                  <c:v>5028.1741389303288</c:v>
                </c:pt>
                <c:pt idx="47">
                  <c:v>5281.7982170467585</c:v>
                </c:pt>
                <c:pt idx="48">
                  <c:v>5534.6700004597351</c:v>
                </c:pt>
                <c:pt idx="49">
                  <c:v>5774.0324713234349</c:v>
                </c:pt>
                <c:pt idx="50">
                  <c:v>5965.0989262445964</c:v>
                </c:pt>
                <c:pt idx="51">
                  <c:v>6198.7898171350053</c:v>
                </c:pt>
                <c:pt idx="52">
                  <c:v>6438.8193277288165</c:v>
                </c:pt>
                <c:pt idx="53">
                  <c:v>6672.5638488399545</c:v>
                </c:pt>
                <c:pt idx="54">
                  <c:v>6916.2369128691244</c:v>
                </c:pt>
                <c:pt idx="55">
                  <c:v>7132.3540743961785</c:v>
                </c:pt>
                <c:pt idx="56">
                  <c:v>7343.2489747801365</c:v>
                </c:pt>
                <c:pt idx="57">
                  <c:v>7555.6799658434529</c:v>
                </c:pt>
                <c:pt idx="58">
                  <c:v>7794.8585941519432</c:v>
                </c:pt>
                <c:pt idx="59">
                  <c:v>8028.2828980888862</c:v>
                </c:pt>
                <c:pt idx="60">
                  <c:v>8254.1866213984849</c:v>
                </c:pt>
                <c:pt idx="61">
                  <c:v>8470.731961946216</c:v>
                </c:pt>
                <c:pt idx="62">
                  <c:v>8680.2251806383956</c:v>
                </c:pt>
                <c:pt idx="63">
                  <c:v>8885.8679625595414</c:v>
                </c:pt>
                <c:pt idx="64">
                  <c:v>9082.5314938070369</c:v>
                </c:pt>
                <c:pt idx="65">
                  <c:v>9235.0991208118521</c:v>
                </c:pt>
                <c:pt idx="66">
                  <c:v>9448.3932058510472</c:v>
                </c:pt>
                <c:pt idx="67">
                  <c:v>9652.011327995484</c:v>
                </c:pt>
                <c:pt idx="68">
                  <c:v>9863.6047853743112</c:v>
                </c:pt>
                <c:pt idx="69">
                  <c:v>10059.465117657212</c:v>
                </c:pt>
                <c:pt idx="70">
                  <c:v>10257.327344515297</c:v>
                </c:pt>
                <c:pt idx="71">
                  <c:v>10460.286565408516</c:v>
                </c:pt>
                <c:pt idx="72">
                  <c:v>10666.231146624952</c:v>
                </c:pt>
                <c:pt idx="73">
                  <c:v>10871.966957737062</c:v>
                </c:pt>
                <c:pt idx="74">
                  <c:v>11086.141096765243</c:v>
                </c:pt>
                <c:pt idx="75">
                  <c:v>11308.481685506938</c:v>
                </c:pt>
                <c:pt idx="76">
                  <c:v>11552.466679976571</c:v>
                </c:pt>
                <c:pt idx="77">
                  <c:v>11764.348642429644</c:v>
                </c:pt>
                <c:pt idx="78">
                  <c:v>11956.648639583213</c:v>
                </c:pt>
                <c:pt idx="79">
                  <c:v>12134.574429601786</c:v>
                </c:pt>
                <c:pt idx="80">
                  <c:v>12326.444715924537</c:v>
                </c:pt>
                <c:pt idx="81">
                  <c:v>12508.090445320722</c:v>
                </c:pt>
                <c:pt idx="82">
                  <c:v>12699.926479136284</c:v>
                </c:pt>
                <c:pt idx="83">
                  <c:v>12907.123435349926</c:v>
                </c:pt>
                <c:pt idx="84">
                  <c:v>13084.674325051126</c:v>
                </c:pt>
                <c:pt idx="85">
                  <c:v>13261.529705704954</c:v>
                </c:pt>
                <c:pt idx="86">
                  <c:v>13443.131277003878</c:v>
                </c:pt>
                <c:pt idx="87">
                  <c:v>13566.288558225906</c:v>
                </c:pt>
                <c:pt idx="88">
                  <c:v>13742.044201492434</c:v>
                </c:pt>
                <c:pt idx="89">
                  <c:v>13923.812220134057</c:v>
                </c:pt>
                <c:pt idx="90">
                  <c:v>14080.711399608568</c:v>
                </c:pt>
                <c:pt idx="91">
                  <c:v>14259.682699511595</c:v>
                </c:pt>
                <c:pt idx="92">
                  <c:v>14394.537743452054</c:v>
                </c:pt>
                <c:pt idx="93">
                  <c:v>14545.977436894847</c:v>
                </c:pt>
                <c:pt idx="94">
                  <c:v>14664.637333116752</c:v>
                </c:pt>
                <c:pt idx="95">
                  <c:v>14760.733989419648</c:v>
                </c:pt>
                <c:pt idx="96">
                  <c:v>14872.825242028979</c:v>
                </c:pt>
                <c:pt idx="97">
                  <c:v>14960.120402029095</c:v>
                </c:pt>
                <c:pt idx="98">
                  <c:v>15031.713648192979</c:v>
                </c:pt>
                <c:pt idx="99">
                  <c:v>15096.093124311605</c:v>
                </c:pt>
                <c:pt idx="100">
                  <c:v>15131.798211303698</c:v>
                </c:pt>
                <c:pt idx="101">
                  <c:v>15162.237805597346</c:v>
                </c:pt>
                <c:pt idx="102">
                  <c:v>15202.135278050418</c:v>
                </c:pt>
                <c:pt idx="103">
                  <c:v>15226.768715102973</c:v>
                </c:pt>
                <c:pt idx="104">
                  <c:v>15245.865878438242</c:v>
                </c:pt>
                <c:pt idx="105">
                  <c:v>15259.569556068584</c:v>
                </c:pt>
                <c:pt idx="106">
                  <c:v>15269.822317289765</c:v>
                </c:pt>
                <c:pt idx="107">
                  <c:v>15276.945027816873</c:v>
                </c:pt>
                <c:pt idx="108">
                  <c:v>15282.058674702237</c:v>
                </c:pt>
                <c:pt idx="109">
                  <c:v>15285.870019778104</c:v>
                </c:pt>
                <c:pt idx="110">
                  <c:v>15288.14544265724</c:v>
                </c:pt>
                <c:pt idx="111">
                  <c:v>15289.248075412082</c:v>
                </c:pt>
                <c:pt idx="112">
                  <c:v>15289.597419619871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3C-4B8A-87F1-475E61AC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62816"/>
        <c:axId val="1359048896"/>
      </c:scatterChart>
      <c:valAx>
        <c:axId val="135906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48896"/>
        <c:crosses val="autoZero"/>
        <c:crossBetween val="midCat"/>
      </c:valAx>
      <c:valAx>
        <c:axId val="13590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6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Evapotranspiration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Output'!$D$1</c:f>
              <c:strCache>
                <c:ptCount val="1"/>
                <c:pt idx="0">
                  <c:v>Pot crop Transpiration (mm/day)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Output'!$D$2:$D$285</c:f>
              <c:numCache>
                <c:formatCode>General</c:formatCode>
                <c:ptCount val="284"/>
                <c:pt idx="0">
                  <c:v>8.4026236717365907E-2</c:v>
                </c:pt>
                <c:pt idx="1">
                  <c:v>0.12012393806818483</c:v>
                </c:pt>
                <c:pt idx="2">
                  <c:v>0.13664039299218153</c:v>
                </c:pt>
                <c:pt idx="3">
                  <c:v>0.11790563119775055</c:v>
                </c:pt>
                <c:pt idx="4">
                  <c:v>0.21855782305650873</c:v>
                </c:pt>
                <c:pt idx="5">
                  <c:v>0.17614859218156445</c:v>
                </c:pt>
                <c:pt idx="6">
                  <c:v>0.1459963781917607</c:v>
                </c:pt>
                <c:pt idx="7">
                  <c:v>0.28783903852451714</c:v>
                </c:pt>
                <c:pt idx="8">
                  <c:v>0.31689042279423635</c:v>
                </c:pt>
                <c:pt idx="9">
                  <c:v>0.20661944917733574</c:v>
                </c:pt>
                <c:pt idx="10">
                  <c:v>0.30003329157746872</c:v>
                </c:pt>
                <c:pt idx="11">
                  <c:v>0.47281957213185755</c:v>
                </c:pt>
                <c:pt idx="12">
                  <c:v>0.58681358059432076</c:v>
                </c:pt>
                <c:pt idx="13">
                  <c:v>0.65649797402140431</c:v>
                </c:pt>
                <c:pt idx="14">
                  <c:v>0.71614810291724129</c:v>
                </c:pt>
                <c:pt idx="15">
                  <c:v>0.84160104618149456</c:v>
                </c:pt>
                <c:pt idx="16">
                  <c:v>0.90466817244277919</c:v>
                </c:pt>
                <c:pt idx="17">
                  <c:v>0.92768775810230142</c:v>
                </c:pt>
                <c:pt idx="18">
                  <c:v>0.90106482447359315</c:v>
                </c:pt>
                <c:pt idx="19">
                  <c:v>1.480690123503039</c:v>
                </c:pt>
                <c:pt idx="20">
                  <c:v>1.7636364487438301</c:v>
                </c:pt>
                <c:pt idx="21">
                  <c:v>2.136870606245473</c:v>
                </c:pt>
                <c:pt idx="22">
                  <c:v>1.8494532083533044</c:v>
                </c:pt>
                <c:pt idx="23">
                  <c:v>1.7868142990172839</c:v>
                </c:pt>
                <c:pt idx="24">
                  <c:v>2.434864218783229</c:v>
                </c:pt>
                <c:pt idx="25">
                  <c:v>2.7489412442646532</c:v>
                </c:pt>
                <c:pt idx="26">
                  <c:v>2.8270844186827109</c:v>
                </c:pt>
                <c:pt idx="27">
                  <c:v>2.7509880685592978</c:v>
                </c:pt>
                <c:pt idx="28">
                  <c:v>2.5985230814013187</c:v>
                </c:pt>
                <c:pt idx="29">
                  <c:v>3.4783284411824793</c:v>
                </c:pt>
                <c:pt idx="30">
                  <c:v>3.8600155592533207</c:v>
                </c:pt>
                <c:pt idx="31">
                  <c:v>4.221336142302162</c:v>
                </c:pt>
                <c:pt idx="32">
                  <c:v>4.4875133942532761</c:v>
                </c:pt>
                <c:pt idx="33">
                  <c:v>3.8979139266584171</c:v>
                </c:pt>
                <c:pt idx="34">
                  <c:v>4.2904237875357234</c:v>
                </c:pt>
                <c:pt idx="35">
                  <c:v>4.110344925894819</c:v>
                </c:pt>
                <c:pt idx="36">
                  <c:v>4.1488533084871273</c:v>
                </c:pt>
                <c:pt idx="37">
                  <c:v>4.5560916504875406</c:v>
                </c:pt>
                <c:pt idx="38">
                  <c:v>4.9750736128691129</c:v>
                </c:pt>
                <c:pt idx="39">
                  <c:v>5.2714003203321909</c:v>
                </c:pt>
                <c:pt idx="40">
                  <c:v>5.8101434337744173</c:v>
                </c:pt>
                <c:pt idx="41">
                  <c:v>6.0934047757692529</c:v>
                </c:pt>
                <c:pt idx="42">
                  <c:v>5.8905033773192601</c:v>
                </c:pt>
                <c:pt idx="43">
                  <c:v>5.4830649089835637</c:v>
                </c:pt>
                <c:pt idx="44">
                  <c:v>2.8948700141355634</c:v>
                </c:pt>
                <c:pt idx="45">
                  <c:v>4.8792983986136358</c:v>
                </c:pt>
                <c:pt idx="46">
                  <c:v>4.0867241552311144</c:v>
                </c:pt>
                <c:pt idx="47">
                  <c:v>4.977180528124717</c:v>
                </c:pt>
                <c:pt idx="48">
                  <c:v>5.4222189138060353</c:v>
                </c:pt>
                <c:pt idx="49">
                  <c:v>5.3790338145487286</c:v>
                </c:pt>
                <c:pt idx="50">
                  <c:v>4.3460064308064403</c:v>
                </c:pt>
                <c:pt idx="51">
                  <c:v>6.0430426947973448</c:v>
                </c:pt>
                <c:pt idx="52">
                  <c:v>5.3529180933000902</c:v>
                </c:pt>
                <c:pt idx="53">
                  <c:v>6.1624499669646138</c:v>
                </c:pt>
                <c:pt idx="54">
                  <c:v>5.6940868946002645</c:v>
                </c:pt>
                <c:pt idx="55">
                  <c:v>6.0168014126892952</c:v>
                </c:pt>
                <c:pt idx="56">
                  <c:v>5.7670643001276165</c:v>
                </c:pt>
                <c:pt idx="57">
                  <c:v>6.307211487265211</c:v>
                </c:pt>
                <c:pt idx="58">
                  <c:v>5.2718692736076944</c:v>
                </c:pt>
                <c:pt idx="59">
                  <c:v>5.6296408987889484</c:v>
                </c:pt>
                <c:pt idx="60">
                  <c:v>5.5477248245385589</c:v>
                </c:pt>
                <c:pt idx="61">
                  <c:v>5.6261955816200233</c:v>
                </c:pt>
                <c:pt idx="62">
                  <c:v>5.3591019062269956</c:v>
                </c:pt>
                <c:pt idx="63">
                  <c:v>5.7139084900517343</c:v>
                </c:pt>
                <c:pt idx="64">
                  <c:v>5.6654525931131641</c:v>
                </c:pt>
                <c:pt idx="65">
                  <c:v>2.9701096406648637</c:v>
                </c:pt>
                <c:pt idx="66">
                  <c:v>5.1600920529042851</c:v>
                </c:pt>
                <c:pt idx="67">
                  <c:v>5.261377226979616</c:v>
                </c:pt>
                <c:pt idx="68">
                  <c:v>5.2557108972859066</c:v>
                </c:pt>
                <c:pt idx="69">
                  <c:v>5.7104626368609015</c:v>
                </c:pt>
                <c:pt idx="70">
                  <c:v>5.8516086324456467</c:v>
                </c:pt>
                <c:pt idx="71">
                  <c:v>5.9772977626474875</c:v>
                </c:pt>
                <c:pt idx="72">
                  <c:v>5.6310596016347985</c:v>
                </c:pt>
                <c:pt idx="73">
                  <c:v>5.7388528525016147</c:v>
                </c:pt>
                <c:pt idx="74">
                  <c:v>6.0616237574817315</c:v>
                </c:pt>
                <c:pt idx="75">
                  <c:v>4.9923160654660927</c:v>
                </c:pt>
                <c:pt idx="76">
                  <c:v>5.8817429582953515</c:v>
                </c:pt>
                <c:pt idx="77">
                  <c:v>5.4459378697645651</c:v>
                </c:pt>
                <c:pt idx="78">
                  <c:v>5.0874930501736237</c:v>
                </c:pt>
                <c:pt idx="79">
                  <c:v>5.2138819969067285</c:v>
                </c:pt>
                <c:pt idx="80">
                  <c:v>5.1306420899007374</c:v>
                </c:pt>
                <c:pt idx="81">
                  <c:v>6.0640206513410337</c:v>
                </c:pt>
                <c:pt idx="82">
                  <c:v>4.7395353542999699</c:v>
                </c:pt>
                <c:pt idx="83">
                  <c:v>4.8003504345978092</c:v>
                </c:pt>
                <c:pt idx="84">
                  <c:v>4.5307975070554747</c:v>
                </c:pt>
                <c:pt idx="85">
                  <c:v>4.4953038328057051</c:v>
                </c:pt>
                <c:pt idx="86">
                  <c:v>4.422517526119301</c:v>
                </c:pt>
                <c:pt idx="87">
                  <c:v>2.3717802037790512</c:v>
                </c:pt>
                <c:pt idx="88">
                  <c:v>4.0825007610165951</c:v>
                </c:pt>
                <c:pt idx="89">
                  <c:v>4.1520784007667642</c:v>
                </c:pt>
                <c:pt idx="90">
                  <c:v>4.0705978405196426</c:v>
                </c:pt>
                <c:pt idx="91">
                  <c:v>3.3656751871163491</c:v>
                </c:pt>
                <c:pt idx="92">
                  <c:v>2.7305304500767895</c:v>
                </c:pt>
                <c:pt idx="93">
                  <c:v>3.8438913097430638</c:v>
                </c:pt>
                <c:pt idx="94">
                  <c:v>2.4665472083020865</c:v>
                </c:pt>
                <c:pt idx="95">
                  <c:v>1.828932818172033</c:v>
                </c:pt>
                <c:pt idx="96">
                  <c:v>2.2998056555478694</c:v>
                </c:pt>
                <c:pt idx="97">
                  <c:v>1.8992289298191771</c:v>
                </c:pt>
                <c:pt idx="98">
                  <c:v>1.6261580053557492</c:v>
                </c:pt>
                <c:pt idx="99">
                  <c:v>1.5722183780617838</c:v>
                </c:pt>
                <c:pt idx="100">
                  <c:v>0.61674195851100344</c:v>
                </c:pt>
                <c:pt idx="101">
                  <c:v>0.4304808708320999</c:v>
                </c:pt>
                <c:pt idx="102">
                  <c:v>0.65742289971851486</c:v>
                </c:pt>
                <c:pt idx="103">
                  <c:v>0.50765974523952806</c:v>
                </c:pt>
                <c:pt idx="104">
                  <c:v>0.36033213160464367</c:v>
                </c:pt>
                <c:pt idx="105">
                  <c:v>0.29418268015144866</c:v>
                </c:pt>
                <c:pt idx="106">
                  <c:v>0.23956943697005539</c:v>
                </c:pt>
                <c:pt idx="107">
                  <c:v>0.16181401540562931</c:v>
                </c:pt>
                <c:pt idx="108">
                  <c:v>0.11745389425655009</c:v>
                </c:pt>
                <c:pt idx="109">
                  <c:v>7.7820784412719862E-2</c:v>
                </c:pt>
                <c:pt idx="110">
                  <c:v>4.4953292125377332E-2</c:v>
                </c:pt>
                <c:pt idx="111">
                  <c:v>1.7254802054258916E-2</c:v>
                </c:pt>
                <c:pt idx="112">
                  <c:v>4.9404731658966817E-3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A-4CAE-9407-D92DF24774AD}"/>
            </c:ext>
          </c:extLst>
        </c:ser>
        <c:ser>
          <c:idx val="1"/>
          <c:order val="1"/>
          <c:tx>
            <c:strRef>
              <c:f>'Crop One Output'!$H$1</c:f>
              <c:strCache>
                <c:ptCount val="1"/>
                <c:pt idx="0">
                  <c:v>Transpiration (mm)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Output'!$H$2:$H$285</c:f>
              <c:numCache>
                <c:formatCode>General</c:formatCode>
                <c:ptCount val="284"/>
                <c:pt idx="0">
                  <c:v>8.4026236717365907E-2</c:v>
                </c:pt>
                <c:pt idx="1">
                  <c:v>0.12012393806818483</c:v>
                </c:pt>
                <c:pt idx="2">
                  <c:v>0.13664039299218153</c:v>
                </c:pt>
                <c:pt idx="3">
                  <c:v>0.11790563119775055</c:v>
                </c:pt>
                <c:pt idx="4">
                  <c:v>0.21855782305650873</c:v>
                </c:pt>
                <c:pt idx="5">
                  <c:v>0.17614859218156445</c:v>
                </c:pt>
                <c:pt idx="6">
                  <c:v>0.14599637819176073</c:v>
                </c:pt>
                <c:pt idx="7">
                  <c:v>0.2878390385245172</c:v>
                </c:pt>
                <c:pt idx="8">
                  <c:v>0.3168904227942364</c:v>
                </c:pt>
                <c:pt idx="9">
                  <c:v>0.20661944917733577</c:v>
                </c:pt>
                <c:pt idx="10">
                  <c:v>0.30003329157746872</c:v>
                </c:pt>
                <c:pt idx="11">
                  <c:v>0.47281957213185755</c:v>
                </c:pt>
                <c:pt idx="12">
                  <c:v>0.58681358059432076</c:v>
                </c:pt>
                <c:pt idx="13">
                  <c:v>0.6564979740214042</c:v>
                </c:pt>
                <c:pt idx="14">
                  <c:v>0.7161481029172414</c:v>
                </c:pt>
                <c:pt idx="15">
                  <c:v>0.84160104618149478</c:v>
                </c:pt>
                <c:pt idx="16">
                  <c:v>0.90466817244277919</c:v>
                </c:pt>
                <c:pt idx="17">
                  <c:v>0.92768775810230142</c:v>
                </c:pt>
                <c:pt idx="18">
                  <c:v>0.90106482447359326</c:v>
                </c:pt>
                <c:pt idx="19">
                  <c:v>1.4806901235030385</c:v>
                </c:pt>
                <c:pt idx="20">
                  <c:v>1.7636364487438299</c:v>
                </c:pt>
                <c:pt idx="21">
                  <c:v>2.1368706062454725</c:v>
                </c:pt>
                <c:pt idx="22">
                  <c:v>1.8494532083533042</c:v>
                </c:pt>
                <c:pt idx="23">
                  <c:v>1.7868142990172837</c:v>
                </c:pt>
                <c:pt idx="24">
                  <c:v>2.4348642187832286</c:v>
                </c:pt>
                <c:pt idx="25">
                  <c:v>2.7489412442646532</c:v>
                </c:pt>
                <c:pt idx="26">
                  <c:v>2.8270844186827109</c:v>
                </c:pt>
                <c:pt idx="27">
                  <c:v>2.7509880685592978</c:v>
                </c:pt>
                <c:pt idx="28">
                  <c:v>2.5985230814013209</c:v>
                </c:pt>
                <c:pt idx="29">
                  <c:v>3.4783284411824789</c:v>
                </c:pt>
                <c:pt idx="30">
                  <c:v>3.8600155592533212</c:v>
                </c:pt>
                <c:pt idx="31">
                  <c:v>4.2213361423021629</c:v>
                </c:pt>
                <c:pt idx="32">
                  <c:v>4.4875133942532761</c:v>
                </c:pt>
                <c:pt idx="33">
                  <c:v>3.8979139266584162</c:v>
                </c:pt>
                <c:pt idx="34">
                  <c:v>4.2904237875357225</c:v>
                </c:pt>
                <c:pt idx="35">
                  <c:v>4.110344925894819</c:v>
                </c:pt>
                <c:pt idx="36">
                  <c:v>4.1488533084871264</c:v>
                </c:pt>
                <c:pt idx="37">
                  <c:v>4.5560916504875406</c:v>
                </c:pt>
                <c:pt idx="38">
                  <c:v>4.9750736128691129</c:v>
                </c:pt>
                <c:pt idx="39">
                  <c:v>5.27140032033219</c:v>
                </c:pt>
                <c:pt idx="40">
                  <c:v>5.8101434337744173</c:v>
                </c:pt>
                <c:pt idx="41">
                  <c:v>6.0934047757692529</c:v>
                </c:pt>
                <c:pt idx="42">
                  <c:v>5.8905033773192601</c:v>
                </c:pt>
                <c:pt idx="43">
                  <c:v>5.4830649089835655</c:v>
                </c:pt>
                <c:pt idx="44">
                  <c:v>2.894870014135563</c:v>
                </c:pt>
                <c:pt idx="45">
                  <c:v>4.8792983986136358</c:v>
                </c:pt>
                <c:pt idx="46">
                  <c:v>4.0867241552311144</c:v>
                </c:pt>
                <c:pt idx="47">
                  <c:v>4.977180528124717</c:v>
                </c:pt>
                <c:pt idx="48">
                  <c:v>5.4222189138060344</c:v>
                </c:pt>
                <c:pt idx="49">
                  <c:v>5.3790338145487278</c:v>
                </c:pt>
                <c:pt idx="50">
                  <c:v>4.3460064308064412</c:v>
                </c:pt>
                <c:pt idx="51">
                  <c:v>6.0430426947973457</c:v>
                </c:pt>
                <c:pt idx="52">
                  <c:v>5.3529180933000884</c:v>
                </c:pt>
                <c:pt idx="53">
                  <c:v>6.1624499669646156</c:v>
                </c:pt>
                <c:pt idx="54">
                  <c:v>5.6940868946002645</c:v>
                </c:pt>
                <c:pt idx="55">
                  <c:v>6.0168014126892952</c:v>
                </c:pt>
                <c:pt idx="56">
                  <c:v>5.7670643001276156</c:v>
                </c:pt>
                <c:pt idx="57">
                  <c:v>6.3072114872652092</c:v>
                </c:pt>
                <c:pt idx="58">
                  <c:v>5.2718692736076926</c:v>
                </c:pt>
                <c:pt idx="59">
                  <c:v>5.6296408987889484</c:v>
                </c:pt>
                <c:pt idx="60">
                  <c:v>5.5477248245385598</c:v>
                </c:pt>
                <c:pt idx="61">
                  <c:v>5.6261955816200233</c:v>
                </c:pt>
                <c:pt idx="62">
                  <c:v>5.3591019062269956</c:v>
                </c:pt>
                <c:pt idx="63">
                  <c:v>5.7139084900517343</c:v>
                </c:pt>
                <c:pt idx="64">
                  <c:v>5.6654525931131641</c:v>
                </c:pt>
                <c:pt idx="65">
                  <c:v>2.9701096406648637</c:v>
                </c:pt>
                <c:pt idx="66">
                  <c:v>5.1600920529042833</c:v>
                </c:pt>
                <c:pt idx="67">
                  <c:v>5.2613772269796177</c:v>
                </c:pt>
                <c:pt idx="68">
                  <c:v>5.2557108972859057</c:v>
                </c:pt>
                <c:pt idx="69">
                  <c:v>5.7104626368609006</c:v>
                </c:pt>
                <c:pt idx="70">
                  <c:v>5.8516086324456458</c:v>
                </c:pt>
                <c:pt idx="71">
                  <c:v>5.9772977626474875</c:v>
                </c:pt>
                <c:pt idx="72">
                  <c:v>5.6310596016348002</c:v>
                </c:pt>
                <c:pt idx="73">
                  <c:v>5.7388528525016156</c:v>
                </c:pt>
                <c:pt idx="74">
                  <c:v>6.0616237574817307</c:v>
                </c:pt>
                <c:pt idx="75">
                  <c:v>4.9923160654660927</c:v>
                </c:pt>
                <c:pt idx="76">
                  <c:v>5.8817429582953515</c:v>
                </c:pt>
                <c:pt idx="77">
                  <c:v>5.4459378697645651</c:v>
                </c:pt>
                <c:pt idx="78">
                  <c:v>5.0874930501736237</c:v>
                </c:pt>
                <c:pt idx="79">
                  <c:v>5.2138819969067249</c:v>
                </c:pt>
                <c:pt idx="80">
                  <c:v>5.1306420899007348</c:v>
                </c:pt>
                <c:pt idx="81">
                  <c:v>6.0640206513410329</c:v>
                </c:pt>
                <c:pt idx="82">
                  <c:v>4.739535354299969</c:v>
                </c:pt>
                <c:pt idx="83">
                  <c:v>4.8003504345978101</c:v>
                </c:pt>
                <c:pt idx="84">
                  <c:v>4.5307975070554729</c:v>
                </c:pt>
                <c:pt idx="85">
                  <c:v>4.4953038328057051</c:v>
                </c:pt>
                <c:pt idx="86">
                  <c:v>4.4225175261193019</c:v>
                </c:pt>
                <c:pt idx="87">
                  <c:v>2.3717802037790516</c:v>
                </c:pt>
                <c:pt idx="88">
                  <c:v>4.0825007610165951</c:v>
                </c:pt>
                <c:pt idx="89">
                  <c:v>4.152078400766765</c:v>
                </c:pt>
                <c:pt idx="90">
                  <c:v>4.0705978405196435</c:v>
                </c:pt>
                <c:pt idx="91">
                  <c:v>3.3656751871163499</c:v>
                </c:pt>
                <c:pt idx="92">
                  <c:v>2.73053045007679</c:v>
                </c:pt>
                <c:pt idx="93">
                  <c:v>3.8438913097430625</c:v>
                </c:pt>
                <c:pt idx="94">
                  <c:v>2.4665472083020861</c:v>
                </c:pt>
                <c:pt idx="95">
                  <c:v>1.8289328181720328</c:v>
                </c:pt>
                <c:pt idx="96">
                  <c:v>2.299805655547869</c:v>
                </c:pt>
                <c:pt idx="97">
                  <c:v>1.8992289298191769</c:v>
                </c:pt>
                <c:pt idx="98">
                  <c:v>1.6261580053557487</c:v>
                </c:pt>
                <c:pt idx="99">
                  <c:v>1.5722183780617838</c:v>
                </c:pt>
                <c:pt idx="100">
                  <c:v>0.61674195851100333</c:v>
                </c:pt>
                <c:pt idx="101">
                  <c:v>0.4304808708320999</c:v>
                </c:pt>
                <c:pt idx="102">
                  <c:v>0.65742289971851475</c:v>
                </c:pt>
                <c:pt idx="103">
                  <c:v>0.50765974523952806</c:v>
                </c:pt>
                <c:pt idx="104">
                  <c:v>0.36033213160464356</c:v>
                </c:pt>
                <c:pt idx="105">
                  <c:v>0.29418268015144866</c:v>
                </c:pt>
                <c:pt idx="106">
                  <c:v>0.23956943697005534</c:v>
                </c:pt>
                <c:pt idx="107">
                  <c:v>0.16181401540562931</c:v>
                </c:pt>
                <c:pt idx="108">
                  <c:v>0.11745389425655006</c:v>
                </c:pt>
                <c:pt idx="109">
                  <c:v>7.7820784412719834E-2</c:v>
                </c:pt>
                <c:pt idx="110">
                  <c:v>4.4953292125377325E-2</c:v>
                </c:pt>
                <c:pt idx="111">
                  <c:v>1.7254802054258916E-2</c:v>
                </c:pt>
                <c:pt idx="112">
                  <c:v>4.9404731658966826E-3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4A-4CAE-9407-D92DF24774AD}"/>
            </c:ext>
          </c:extLst>
        </c:ser>
        <c:ser>
          <c:idx val="2"/>
          <c:order val="2"/>
          <c:tx>
            <c:strRef>
              <c:f>'Crop One Output'!$I$1</c:f>
              <c:strCache>
                <c:ptCount val="1"/>
                <c:pt idx="0">
                  <c:v>Soil Evap (mm)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Output'!$I$2:$I$285</c:f>
              <c:numCache>
                <c:formatCode>General</c:formatCode>
                <c:ptCount val="284"/>
                <c:pt idx="0">
                  <c:v>4.4290248212077041E-2</c:v>
                </c:pt>
                <c:pt idx="1">
                  <c:v>0.37129080668721376</c:v>
                </c:pt>
                <c:pt idx="2">
                  <c:v>0.26449108721039893</c:v>
                </c:pt>
                <c:pt idx="3">
                  <c:v>0.14970757524230432</c:v>
                </c:pt>
                <c:pt idx="4">
                  <c:v>0.20676328519420076</c:v>
                </c:pt>
                <c:pt idx="5">
                  <c:v>0.10580428847255169</c:v>
                </c:pt>
                <c:pt idx="6">
                  <c:v>6.3820464776030428E-2</c:v>
                </c:pt>
                <c:pt idx="7">
                  <c:v>4.5858901806529122</c:v>
                </c:pt>
                <c:pt idx="8">
                  <c:v>4.5051622327744321</c:v>
                </c:pt>
                <c:pt idx="9">
                  <c:v>0.15041953710327816</c:v>
                </c:pt>
                <c:pt idx="10">
                  <c:v>1.7687657799688499</c:v>
                </c:pt>
                <c:pt idx="11">
                  <c:v>3.7788726065864195</c:v>
                </c:pt>
                <c:pt idx="12">
                  <c:v>0.36015294611538773</c:v>
                </c:pt>
                <c:pt idx="13">
                  <c:v>1.708684505654672</c:v>
                </c:pt>
                <c:pt idx="14">
                  <c:v>0.42337506438194511</c:v>
                </c:pt>
                <c:pt idx="15">
                  <c:v>0.25158312027832846</c:v>
                </c:pt>
                <c:pt idx="16">
                  <c:v>0.15486506004541364</c:v>
                </c:pt>
                <c:pt idx="17">
                  <c:v>0.10210488830259991</c:v>
                </c:pt>
                <c:pt idx="18">
                  <c:v>6.6357980845767287E-2</c:v>
                </c:pt>
                <c:pt idx="19">
                  <c:v>8.0740775778247426E-2</c:v>
                </c:pt>
                <c:pt idx="20">
                  <c:v>6.6114698234975497E-2</c:v>
                </c:pt>
                <c:pt idx="21">
                  <c:v>5.697651000608038E-2</c:v>
                </c:pt>
                <c:pt idx="22">
                  <c:v>3.4054733469519941E-2</c:v>
                </c:pt>
                <c:pt idx="23">
                  <c:v>2.4798109617748854E-2</c:v>
                </c:pt>
                <c:pt idx="24">
                  <c:v>2.7307312079926902E-2</c:v>
                </c:pt>
                <c:pt idx="25">
                  <c:v>5.3312483415193811E-2</c:v>
                </c:pt>
                <c:pt idx="26">
                  <c:v>3.8590450890670668E-2</c:v>
                </c:pt>
                <c:pt idx="27">
                  <c:v>3.0213195870128003E-2</c:v>
                </c:pt>
                <c:pt idx="28">
                  <c:v>2.0685012359749413E-2</c:v>
                </c:pt>
                <c:pt idx="29">
                  <c:v>2.3426089773600819E-2</c:v>
                </c:pt>
                <c:pt idx="30">
                  <c:v>1.9532796897839176E-2</c:v>
                </c:pt>
                <c:pt idx="31">
                  <c:v>1.8734129326481443</c:v>
                </c:pt>
                <c:pt idx="32">
                  <c:v>1.723651545414459</c:v>
                </c:pt>
                <c:pt idx="33">
                  <c:v>1.0784459847604726</c:v>
                </c:pt>
                <c:pt idx="34">
                  <c:v>1.1233556289693694</c:v>
                </c:pt>
                <c:pt idx="35">
                  <c:v>0.77388583273607048</c:v>
                </c:pt>
                <c:pt idx="36">
                  <c:v>0.76481867912148604</c:v>
                </c:pt>
                <c:pt idx="37">
                  <c:v>0.68589433809639089</c:v>
                </c:pt>
                <c:pt idx="38">
                  <c:v>0.68589249634298588</c:v>
                </c:pt>
                <c:pt idx="39">
                  <c:v>0.60958655401409356</c:v>
                </c:pt>
                <c:pt idx="40">
                  <c:v>0.58003434100978069</c:v>
                </c:pt>
                <c:pt idx="41">
                  <c:v>0.65687492288367577</c:v>
                </c:pt>
                <c:pt idx="42">
                  <c:v>0.57173630129301656</c:v>
                </c:pt>
                <c:pt idx="43">
                  <c:v>0.40543118004011963</c:v>
                </c:pt>
                <c:pt idx="44">
                  <c:v>0.14145077965277106</c:v>
                </c:pt>
                <c:pt idx="45">
                  <c:v>0.27999541153427349</c:v>
                </c:pt>
                <c:pt idx="46">
                  <c:v>0.19755786475573583</c:v>
                </c:pt>
                <c:pt idx="47">
                  <c:v>0.23961184324142956</c:v>
                </c:pt>
                <c:pt idx="48">
                  <c:v>0.26013095640898842</c:v>
                </c:pt>
                <c:pt idx="49">
                  <c:v>0.257305676073601</c:v>
                </c:pt>
                <c:pt idx="50">
                  <c:v>0.20738053107660284</c:v>
                </c:pt>
                <c:pt idx="51">
                  <c:v>0.28776393784749282</c:v>
                </c:pt>
                <c:pt idx="52">
                  <c:v>0.25490086158571879</c:v>
                </c:pt>
                <c:pt idx="53">
                  <c:v>0.33194434068584633</c:v>
                </c:pt>
                <c:pt idx="54">
                  <c:v>0.27114699498096523</c:v>
                </c:pt>
                <c:pt idx="55">
                  <c:v>0.28651435298520478</c:v>
                </c:pt>
                <c:pt idx="56">
                  <c:v>0.27462210952988675</c:v>
                </c:pt>
                <c:pt idx="57">
                  <c:v>0.30798914556691875</c:v>
                </c:pt>
                <c:pt idx="58">
                  <c:v>0.25104139398131897</c:v>
                </c:pt>
                <c:pt idx="59">
                  <c:v>0.26807813803756919</c:v>
                </c:pt>
                <c:pt idx="60">
                  <c:v>0.26417737259707447</c:v>
                </c:pt>
                <c:pt idx="61">
                  <c:v>0.32595601330687379</c:v>
                </c:pt>
                <c:pt idx="62">
                  <c:v>0.25519532886795238</c:v>
                </c:pt>
                <c:pt idx="63">
                  <c:v>0.27209088047865426</c:v>
                </c:pt>
                <c:pt idx="64">
                  <c:v>0.26978345681491284</c:v>
                </c:pt>
                <c:pt idx="65">
                  <c:v>0.1414337924126127</c:v>
                </c:pt>
                <c:pt idx="66">
                  <c:v>0.24571866918591856</c:v>
                </c:pt>
                <c:pt idx="67">
                  <c:v>0.25054177271331524</c:v>
                </c:pt>
                <c:pt idx="68">
                  <c:v>0.2502719474898053</c:v>
                </c:pt>
                <c:pt idx="69">
                  <c:v>0.2719267922314717</c:v>
                </c:pt>
                <c:pt idx="70">
                  <c:v>0.27864803011645956</c:v>
                </c:pt>
                <c:pt idx="71">
                  <c:v>0.28463322679273773</c:v>
                </c:pt>
                <c:pt idx="72">
                  <c:v>0.26814569531594301</c:v>
                </c:pt>
                <c:pt idx="73">
                  <c:v>0.27327870726198189</c:v>
                </c:pt>
                <c:pt idx="74">
                  <c:v>0.41596483510846582</c:v>
                </c:pt>
                <c:pt idx="75">
                  <c:v>0.23772933645076652</c:v>
                </c:pt>
                <c:pt idx="76">
                  <c:v>0.40933976836351194</c:v>
                </c:pt>
                <c:pt idx="77">
                  <c:v>0.28555748471320896</c:v>
                </c:pt>
                <c:pt idx="78">
                  <c:v>0.24226157381779181</c:v>
                </c:pt>
                <c:pt idx="79">
                  <c:v>0.24828009509079679</c:v>
                </c:pt>
                <c:pt idx="80">
                  <c:v>0.24431628999527341</c:v>
                </c:pt>
                <c:pt idx="81">
                  <c:v>0.41948749692462051</c:v>
                </c:pt>
                <c:pt idx="82">
                  <c:v>0.22572001579149728</c:v>
                </c:pt>
                <c:pt idx="83">
                  <c:v>0.22947198987511622</c:v>
                </c:pt>
                <c:pt idx="84">
                  <c:v>0.21766627323108231</c:v>
                </c:pt>
                <c:pt idx="85">
                  <c:v>0.2173934805883847</c:v>
                </c:pt>
                <c:pt idx="86">
                  <c:v>0.21575773222989114</c:v>
                </c:pt>
                <c:pt idx="87">
                  <c:v>0.11706129443130403</c:v>
                </c:pt>
                <c:pt idx="88">
                  <c:v>0.20460563579301916</c:v>
                </c:pt>
                <c:pt idx="89">
                  <c:v>0.2123232604659672</c:v>
                </c:pt>
                <c:pt idx="90">
                  <c:v>0.21370436185985017</c:v>
                </c:pt>
                <c:pt idx="91">
                  <c:v>0.18283301907896274</c:v>
                </c:pt>
                <c:pt idx="92">
                  <c:v>0.15499253978219382</c:v>
                </c:pt>
                <c:pt idx="93">
                  <c:v>0.24514510773893025</c:v>
                </c:pt>
                <c:pt idx="94">
                  <c:v>0.15885364436288088</c:v>
                </c:pt>
                <c:pt idx="95">
                  <c:v>0.12850978179005201</c:v>
                </c:pt>
                <c:pt idx="96">
                  <c:v>0.17967482426611073</c:v>
                </c:pt>
                <c:pt idx="97">
                  <c:v>0.16842418521387481</c:v>
                </c:pt>
                <c:pt idx="98">
                  <c:v>0.16728391915399571</c:v>
                </c:pt>
                <c:pt idx="99">
                  <c:v>0.19179038584276764</c:v>
                </c:pt>
                <c:pt idx="100">
                  <c:v>9.1159154494154085E-2</c:v>
                </c:pt>
                <c:pt idx="101">
                  <c:v>7.8695054023345146E-2</c:v>
                </c:pt>
                <c:pt idx="102">
                  <c:v>0.15152195329814405</c:v>
                </c:pt>
                <c:pt idx="103">
                  <c:v>0.15018474961625441</c:v>
                </c:pt>
                <c:pt idx="104">
                  <c:v>0.13918114155389635</c:v>
                </c:pt>
                <c:pt idx="105">
                  <c:v>0.15089317838954289</c:v>
                </c:pt>
                <c:pt idx="106">
                  <c:v>0.16614252481864492</c:v>
                </c:pt>
                <c:pt idx="107">
                  <c:v>0.15493693035124145</c:v>
                </c:pt>
                <c:pt idx="108">
                  <c:v>0.15949803132066709</c:v>
                </c:pt>
                <c:pt idx="109">
                  <c:v>0.15570388338588786</c:v>
                </c:pt>
                <c:pt idx="110">
                  <c:v>0.14082327753030666</c:v>
                </c:pt>
                <c:pt idx="111">
                  <c:v>9.4771046051461083E-2</c:v>
                </c:pt>
                <c:pt idx="112">
                  <c:v>6.3100249265049813E-2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4A-4CAE-9407-D92DF2477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734416"/>
        <c:axId val="1488725776"/>
      </c:scatterChart>
      <c:valAx>
        <c:axId val="148873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25776"/>
        <c:crosses val="autoZero"/>
        <c:crossBetween val="midCat"/>
      </c:valAx>
      <c:valAx>
        <c:axId val="148872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34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Crop</a:t>
            </a:r>
            <a:r>
              <a:rPr lang="en-US" baseline="0"/>
              <a:t> Height and Root Depth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Output'!$J$1</c:f>
              <c:strCache>
                <c:ptCount val="1"/>
                <c:pt idx="0">
                  <c:v>Root Depth (m)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Output'!$J$2:$J$285</c:f>
              <c:numCache>
                <c:formatCode>General</c:formatCode>
                <c:ptCount val="284"/>
                <c:pt idx="0">
                  <c:v>0.26388624567280289</c:v>
                </c:pt>
                <c:pt idx="1">
                  <c:v>0.26653122787868017</c:v>
                </c:pt>
                <c:pt idx="2">
                  <c:v>0.26967208430413969</c:v>
                </c:pt>
                <c:pt idx="3">
                  <c:v>0.27339849475254885</c:v>
                </c:pt>
                <c:pt idx="4">
                  <c:v>0.2778150051114292</c:v>
                </c:pt>
                <c:pt idx="5">
                  <c:v>0.28304293489125282</c:v>
                </c:pt>
                <c:pt idx="6">
                  <c:v>0.28922229323867304</c:v>
                </c:pt>
                <c:pt idx="7">
                  <c:v>0.29651358302188252</c:v>
                </c:pt>
                <c:pt idx="8">
                  <c:v>0.30509931609733831</c:v>
                </c:pt>
                <c:pt idx="9">
                  <c:v>0.31518499180237591</c:v>
                </c:pt>
                <c:pt idx="10">
                  <c:v>0.32699920583850844</c:v>
                </c:pt>
                <c:pt idx="11">
                  <c:v>0.34079246229376603</c:v>
                </c:pt>
                <c:pt idx="12">
                  <c:v>0.35683416756015679</c:v>
                </c:pt>
                <c:pt idx="13">
                  <c:v>0.37540720953060103</c:v>
                </c:pt>
                <c:pt idx="14">
                  <c:v>0.3967994974929967</c:v>
                </c:pt>
                <c:pt idx="15">
                  <c:v>0.42129189787032817</c:v>
                </c:pt>
                <c:pt idx="16">
                  <c:v>0.44914219763769253</c:v>
                </c:pt>
                <c:pt idx="17">
                  <c:v>0.48056511039851024</c:v>
                </c:pt>
                <c:pt idx="18">
                  <c:v>0.51570894222265595</c:v>
                </c:pt>
                <c:pt idx="19">
                  <c:v>0.55463034476044282</c:v>
                </c:pt>
                <c:pt idx="20">
                  <c:v>0.59726951772640535</c:v>
                </c:pt>
                <c:pt idx="21">
                  <c:v>0.6434291020729429</c:v>
                </c:pt>
                <c:pt idx="22">
                  <c:v>0.69276056003431086</c:v>
                </c:pt>
                <c:pt idx="23">
                  <c:v>0.7447617636051892</c:v>
                </c:pt>
                <c:pt idx="24">
                  <c:v>0.79878857354223531</c:v>
                </c:pt>
                <c:pt idx="25">
                  <c:v>0.85408135324434165</c:v>
                </c:pt>
                <c:pt idx="26">
                  <c:v>0.90980489242846108</c:v>
                </c:pt>
                <c:pt idx="27">
                  <c:v>0.96509767213056774</c:v>
                </c:pt>
                <c:pt idx="28">
                  <c:v>1.0191244820676137</c:v>
                </c:pt>
                <c:pt idx="29">
                  <c:v>1.0711256856384921</c:v>
                </c:pt>
                <c:pt idx="30">
                  <c:v>1.12045714359986</c:v>
                </c:pt>
                <c:pt idx="31">
                  <c:v>1.1666167279463975</c:v>
                </c:pt>
                <c:pt idx="32">
                  <c:v>1.20925590091236</c:v>
                </c:pt>
                <c:pt idx="33">
                  <c:v>1.2481773034501473</c:v>
                </c:pt>
                <c:pt idx="34">
                  <c:v>1.2833211352742928</c:v>
                </c:pt>
                <c:pt idx="35">
                  <c:v>1.3147440480351102</c:v>
                </c:pt>
                <c:pt idx="36">
                  <c:v>1.3425943478024749</c:v>
                </c:pt>
                <c:pt idx="37">
                  <c:v>1.3670867481798061</c:v>
                </c:pt>
                <c:pt idx="38">
                  <c:v>1.3884790361422019</c:v>
                </c:pt>
                <c:pt idx="39">
                  <c:v>1.4070520781126461</c:v>
                </c:pt>
                <c:pt idx="40">
                  <c:v>1.4230937833790369</c:v>
                </c:pt>
                <c:pt idx="41">
                  <c:v>1.4368870398342946</c:v>
                </c:pt>
                <c:pt idx="42">
                  <c:v>1.4487012538704269</c:v>
                </c:pt>
                <c:pt idx="43">
                  <c:v>1.4587869295754645</c:v>
                </c:pt>
                <c:pt idx="44">
                  <c:v>1.4673726626509205</c:v>
                </c:pt>
                <c:pt idx="45">
                  <c:v>1.4746639524341298</c:v>
                </c:pt>
                <c:pt idx="46">
                  <c:v>1.4808433107815502</c:v>
                </c:pt>
                <c:pt idx="47">
                  <c:v>1.4860712405613739</c:v>
                </c:pt>
                <c:pt idx="48">
                  <c:v>1.4904877509202541</c:v>
                </c:pt>
                <c:pt idx="49">
                  <c:v>1.4942141613686633</c:v>
                </c:pt>
                <c:pt idx="50">
                  <c:v>1.4973550177941228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82-478B-84A3-83B64CC7BEBD}"/>
            </c:ext>
          </c:extLst>
        </c:ser>
        <c:ser>
          <c:idx val="1"/>
          <c:order val="1"/>
          <c:tx>
            <c:strRef>
              <c:f>'Crop One Output'!$K$1</c:f>
              <c:strCache>
                <c:ptCount val="1"/>
                <c:pt idx="0">
                  <c:v>Height (m)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Output'!$K$2:$K$285</c:f>
              <c:numCache>
                <c:formatCode>General</c:formatCode>
                <c:ptCount val="284"/>
                <c:pt idx="0">
                  <c:v>1.1108996538242306E-2</c:v>
                </c:pt>
                <c:pt idx="1">
                  <c:v>1.322498230294414E-2</c:v>
                </c:pt>
                <c:pt idx="2">
                  <c:v>1.5737667443311759E-2</c:v>
                </c:pt>
                <c:pt idx="3">
                  <c:v>1.871879580203907E-2</c:v>
                </c:pt>
                <c:pt idx="4">
                  <c:v>2.2252004089143369E-2</c:v>
                </c:pt>
                <c:pt idx="5">
                  <c:v>2.6434347913002275E-2</c:v>
                </c:pt>
                <c:pt idx="6">
                  <c:v>3.137783459093843E-2</c:v>
                </c:pt>
                <c:pt idx="7">
                  <c:v>3.7210866417506018E-2</c:v>
                </c:pt>
                <c:pt idx="8">
                  <c:v>4.4079452877870635E-2</c:v>
                </c:pt>
                <c:pt idx="9">
                  <c:v>5.2147993441900721E-2</c:v>
                </c:pt>
                <c:pt idx="10">
                  <c:v>6.1599364670806747E-2</c:v>
                </c:pt>
                <c:pt idx="11">
                  <c:v>7.2633969835012829E-2</c:v>
                </c:pt>
                <c:pt idx="12">
                  <c:v>8.546733404812544E-2</c:v>
                </c:pt>
                <c:pt idx="13">
                  <c:v>0.10032576762448082</c:v>
                </c:pt>
                <c:pt idx="14">
                  <c:v>0.11743959799439738</c:v>
                </c:pt>
                <c:pt idx="15">
                  <c:v>0.13703351829626256</c:v>
                </c:pt>
                <c:pt idx="16">
                  <c:v>0.15931375811015405</c:v>
                </c:pt>
                <c:pt idx="17">
                  <c:v>0.18445208831880822</c:v>
                </c:pt>
                <c:pt idx="18">
                  <c:v>0.21256715377812471</c:v>
                </c:pt>
                <c:pt idx="19">
                  <c:v>0.24370427580835421</c:v>
                </c:pt>
                <c:pt idx="20">
                  <c:v>0.27781561418112427</c:v>
                </c:pt>
                <c:pt idx="21">
                  <c:v>0.31474328165835436</c:v>
                </c:pt>
                <c:pt idx="22">
                  <c:v>0.35420844802744872</c:v>
                </c:pt>
                <c:pt idx="23">
                  <c:v>0.39580941088415139</c:v>
                </c:pt>
                <c:pt idx="24">
                  <c:v>0.43903085883378823</c:v>
                </c:pt>
                <c:pt idx="25">
                  <c:v>0.48326508259547329</c:v>
                </c:pt>
                <c:pt idx="26">
                  <c:v>0.52784391394276886</c:v>
                </c:pt>
                <c:pt idx="27">
                  <c:v>0.57207813770445415</c:v>
                </c:pt>
                <c:pt idx="28">
                  <c:v>0.61529958565409104</c:v>
                </c:pt>
                <c:pt idx="29">
                  <c:v>0.6569005485107936</c:v>
                </c:pt>
                <c:pt idx="30">
                  <c:v>0.69636571487988796</c:v>
                </c:pt>
                <c:pt idx="31">
                  <c:v>0.73329338235711794</c:v>
                </c:pt>
                <c:pt idx="32">
                  <c:v>0.76740472072988797</c:v>
                </c:pt>
                <c:pt idx="33">
                  <c:v>0.79854184276011786</c:v>
                </c:pt>
                <c:pt idx="34">
                  <c:v>0.82665690821943427</c:v>
                </c:pt>
                <c:pt idx="35">
                  <c:v>0.85179523842808824</c:v>
                </c:pt>
                <c:pt idx="36">
                  <c:v>0.87407547824197984</c:v>
                </c:pt>
                <c:pt idx="37">
                  <c:v>0.89366939854384497</c:v>
                </c:pt>
                <c:pt idx="38">
                  <c:v>0.91078322891376162</c:v>
                </c:pt>
                <c:pt idx="39">
                  <c:v>0.92564166249011681</c:v>
                </c:pt>
                <c:pt idx="40">
                  <c:v>0.93847502670322946</c:v>
                </c:pt>
                <c:pt idx="41">
                  <c:v>0.94950963186743564</c:v>
                </c:pt>
                <c:pt idx="42">
                  <c:v>0.95896100309634158</c:v>
                </c:pt>
                <c:pt idx="43">
                  <c:v>0.96702954366037175</c:v>
                </c:pt>
                <c:pt idx="44">
                  <c:v>0.97389813012073634</c:v>
                </c:pt>
                <c:pt idx="45">
                  <c:v>0.97973116194730392</c:v>
                </c:pt>
                <c:pt idx="46">
                  <c:v>0.98467464862524012</c:v>
                </c:pt>
                <c:pt idx="47">
                  <c:v>0.98885699244909897</c:v>
                </c:pt>
                <c:pt idx="48">
                  <c:v>0.99239020073620321</c:v>
                </c:pt>
                <c:pt idx="49">
                  <c:v>0.99537132909493065</c:v>
                </c:pt>
                <c:pt idx="50">
                  <c:v>0.99788401423529827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82-478B-84A3-83B64CC7B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356640"/>
        <c:axId val="1365359040"/>
      </c:scatterChart>
      <c:valAx>
        <c:axId val="136535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59040"/>
        <c:crosses val="autoZero"/>
        <c:crossBetween val="midCat"/>
      </c:valAx>
      <c:valAx>
        <c:axId val="1365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5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Output'!$P$1</c:f>
              <c:strCache>
                <c:ptCount val="1"/>
                <c:pt idx="0">
                  <c:v>Crop N Mass (kg/ha)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Output'!$P$2:$P$285</c:f>
              <c:numCache>
                <c:formatCode>General</c:formatCode>
                <c:ptCount val="284"/>
                <c:pt idx="0">
                  <c:v>1.815908652463049</c:v>
                </c:pt>
                <c:pt idx="1">
                  <c:v>2.3747876899936173</c:v>
                </c:pt>
                <c:pt idx="2">
                  <c:v>2.9363635930472021</c:v>
                </c:pt>
                <c:pt idx="3">
                  <c:v>3.4635592408441056</c:v>
                </c:pt>
                <c:pt idx="4">
                  <c:v>4.2112053521156376</c:v>
                </c:pt>
                <c:pt idx="5">
                  <c:v>4.8665711284071467</c:v>
                </c:pt>
                <c:pt idx="6">
                  <c:v>5.5892163317436347</c:v>
                </c:pt>
                <c:pt idx="7">
                  <c:v>6.739004888405681</c:v>
                </c:pt>
                <c:pt idx="8">
                  <c:v>7.9058890086732081</c:v>
                </c:pt>
                <c:pt idx="9">
                  <c:v>8.9286031041414713</c:v>
                </c:pt>
                <c:pt idx="10">
                  <c:v>10.266276562670647</c:v>
                </c:pt>
                <c:pt idx="11">
                  <c:v>11.974468225774185</c:v>
                </c:pt>
                <c:pt idx="12">
                  <c:v>13.839672456786541</c:v>
                </c:pt>
                <c:pt idx="13">
                  <c:v>16.122221467370167</c:v>
                </c:pt>
                <c:pt idx="14">
                  <c:v>18.532773229121105</c:v>
                </c:pt>
                <c:pt idx="15">
                  <c:v>21.039027409110126</c:v>
                </c:pt>
                <c:pt idx="16">
                  <c:v>23.647044919952982</c:v>
                </c:pt>
                <c:pt idx="17">
                  <c:v>26.432759930950965</c:v>
                </c:pt>
                <c:pt idx="18">
                  <c:v>29.856339407799002</c:v>
                </c:pt>
                <c:pt idx="19">
                  <c:v>34.230852340694092</c:v>
                </c:pt>
                <c:pt idx="20">
                  <c:v>39.058426614102359</c:v>
                </c:pt>
                <c:pt idx="21">
                  <c:v>44.291206480631239</c:v>
                </c:pt>
                <c:pt idx="22">
                  <c:v>49.766112429717047</c:v>
                </c:pt>
                <c:pt idx="23">
                  <c:v>56.156924536417954</c:v>
                </c:pt>
                <c:pt idx="24">
                  <c:v>63.994226398875895</c:v>
                </c:pt>
                <c:pt idx="25">
                  <c:v>72.607354517165362</c:v>
                </c:pt>
                <c:pt idx="26">
                  <c:v>81.336207882881453</c:v>
                </c:pt>
                <c:pt idx="27">
                  <c:v>90.501003085673801</c:v>
                </c:pt>
                <c:pt idx="28">
                  <c:v>99.630986160404092</c:v>
                </c:pt>
                <c:pt idx="29">
                  <c:v>110.98200703477515</c:v>
                </c:pt>
                <c:pt idx="30">
                  <c:v>122.2896559734526</c:v>
                </c:pt>
                <c:pt idx="31">
                  <c:v>130.82557498294162</c:v>
                </c:pt>
                <c:pt idx="32">
                  <c:v>140.85483914046154</c:v>
                </c:pt>
                <c:pt idx="33">
                  <c:v>149.03537539434697</c:v>
                </c:pt>
                <c:pt idx="34">
                  <c:v>156.99900221881396</c:v>
                </c:pt>
                <c:pt idx="35">
                  <c:v>164.93841710919989</c:v>
                </c:pt>
                <c:pt idx="36">
                  <c:v>172.44264223807582</c:v>
                </c:pt>
                <c:pt idx="37">
                  <c:v>180.32388509113022</c:v>
                </c:pt>
                <c:pt idx="38">
                  <c:v>188.16634883897356</c:v>
                </c:pt>
                <c:pt idx="39">
                  <c:v>195.83421466029455</c:v>
                </c:pt>
                <c:pt idx="40">
                  <c:v>203.38065368640977</c:v>
                </c:pt>
                <c:pt idx="41">
                  <c:v>210.72708639389435</c:v>
                </c:pt>
                <c:pt idx="42">
                  <c:v>218.05909441233311</c:v>
                </c:pt>
                <c:pt idx="43">
                  <c:v>224.94116692403435</c:v>
                </c:pt>
                <c:pt idx="44">
                  <c:v>230.02540505289815</c:v>
                </c:pt>
                <c:pt idx="45">
                  <c:v>235.80270198392478</c:v>
                </c:pt>
                <c:pt idx="46">
                  <c:v>241.57380016758341</c:v>
                </c:pt>
                <c:pt idx="47">
                  <c:v>247.81612305605907</c:v>
                </c:pt>
                <c:pt idx="48">
                  <c:v>254.08912765776839</c:v>
                </c:pt>
                <c:pt idx="49">
                  <c:v>260.03595349773684</c:v>
                </c:pt>
                <c:pt idx="50">
                  <c:v>265.14807271781422</c:v>
                </c:pt>
                <c:pt idx="51">
                  <c:v>270.35399552382995</c:v>
                </c:pt>
                <c:pt idx="52">
                  <c:v>275.12493898560956</c:v>
                </c:pt>
                <c:pt idx="53">
                  <c:v>279.66184350154504</c:v>
                </c:pt>
                <c:pt idx="54">
                  <c:v>283.78993105376895</c:v>
                </c:pt>
                <c:pt idx="55">
                  <c:v>287.52444078485183</c:v>
                </c:pt>
                <c:pt idx="56">
                  <c:v>290.75452949681147</c:v>
                </c:pt>
                <c:pt idx="57">
                  <c:v>293.63860853678386</c:v>
                </c:pt>
                <c:pt idx="58">
                  <c:v>295.93881764288989</c:v>
                </c:pt>
                <c:pt idx="59">
                  <c:v>300.56201874085286</c:v>
                </c:pt>
                <c:pt idx="60">
                  <c:v>303.54297289509702</c:v>
                </c:pt>
                <c:pt idx="61">
                  <c:v>305.48561619475765</c:v>
                </c:pt>
                <c:pt idx="62">
                  <c:v>306.73197525514604</c:v>
                </c:pt>
                <c:pt idx="63">
                  <c:v>307.71100506125686</c:v>
                </c:pt>
                <c:pt idx="64">
                  <c:v>308.56934900961357</c:v>
                </c:pt>
                <c:pt idx="65">
                  <c:v>309.01399383891913</c:v>
                </c:pt>
                <c:pt idx="66">
                  <c:v>309.78911206821903</c:v>
                </c:pt>
                <c:pt idx="67">
                  <c:v>310.59266996779866</c:v>
                </c:pt>
                <c:pt idx="68">
                  <c:v>311.40932000212581</c:v>
                </c:pt>
                <c:pt idx="69">
                  <c:v>312.31231085307098</c:v>
                </c:pt>
                <c:pt idx="70">
                  <c:v>313.25764946305151</c:v>
                </c:pt>
                <c:pt idx="71">
                  <c:v>314.246725578037</c:v>
                </c:pt>
                <c:pt idx="72">
                  <c:v>315.20906997941256</c:v>
                </c:pt>
                <c:pt idx="73">
                  <c:v>316.85623430372465</c:v>
                </c:pt>
                <c:pt idx="74">
                  <c:v>317.59508050345772</c:v>
                </c:pt>
                <c:pt idx="75">
                  <c:v>318.18973961619969</c:v>
                </c:pt>
                <c:pt idx="76">
                  <c:v>318.90174938557755</c:v>
                </c:pt>
                <c:pt idx="77">
                  <c:v>319.5703083604264</c:v>
                </c:pt>
                <c:pt idx="78">
                  <c:v>320.20348877825546</c:v>
                </c:pt>
                <c:pt idx="79">
                  <c:v>320.86289745873603</c:v>
                </c:pt>
                <c:pt idx="80">
                  <c:v>321.52349109862274</c:v>
                </c:pt>
                <c:pt idx="81">
                  <c:v>322.31877079809237</c:v>
                </c:pt>
                <c:pt idx="82">
                  <c:v>322.95665114828182</c:v>
                </c:pt>
                <c:pt idx="83">
                  <c:v>323.61611976017593</c:v>
                </c:pt>
                <c:pt idx="84">
                  <c:v>324.25436600578837</c:v>
                </c:pt>
                <c:pt idx="85">
                  <c:v>324.90299880146728</c:v>
                </c:pt>
                <c:pt idx="86">
                  <c:v>325.55831329573465</c:v>
                </c:pt>
                <c:pt idx="87">
                  <c:v>326.0298354631193</c:v>
                </c:pt>
                <c:pt idx="88">
                  <c:v>326.45291481535361</c:v>
                </c:pt>
                <c:pt idx="89">
                  <c:v>326.89055309169044</c:v>
                </c:pt>
                <c:pt idx="90">
                  <c:v>327.32663956466899</c:v>
                </c:pt>
                <c:pt idx="91">
                  <c:v>327.69223638992946</c:v>
                </c:pt>
                <c:pt idx="92">
                  <c:v>327.99097557468747</c:v>
                </c:pt>
                <c:pt idx="93">
                  <c:v>328.41885859055662</c:v>
                </c:pt>
                <c:pt idx="94">
                  <c:v>328.69658472338864</c:v>
                </c:pt>
                <c:pt idx="95">
                  <c:v>328.90462432720051</c:v>
                </c:pt>
                <c:pt idx="96">
                  <c:v>329.16904397601638</c:v>
                </c:pt>
                <c:pt idx="97">
                  <c:v>329.38972751536198</c:v>
                </c:pt>
                <c:pt idx="98">
                  <c:v>329.58060032015339</c:v>
                </c:pt>
                <c:pt idx="99">
                  <c:v>329.7671192803636</c:v>
                </c:pt>
                <c:pt idx="100">
                  <c:v>329.84201828743397</c:v>
                </c:pt>
                <c:pt idx="101">
                  <c:v>329.8950116098693</c:v>
                </c:pt>
                <c:pt idx="102">
                  <c:v>329.97464502137052</c:v>
                </c:pt>
                <c:pt idx="103">
                  <c:v>330.03666844134699</c:v>
                </c:pt>
                <c:pt idx="104">
                  <c:v>330.08108690262679</c:v>
                </c:pt>
                <c:pt idx="105">
                  <c:v>330.11754754952472</c:v>
                </c:pt>
                <c:pt idx="106">
                  <c:v>330.14739971414076</c:v>
                </c:pt>
                <c:pt idx="107">
                  <c:v>330.16773789996978</c:v>
                </c:pt>
                <c:pt idx="108">
                  <c:v>330.18261766168871</c:v>
                </c:pt>
                <c:pt idx="109">
                  <c:v>330.19258329281496</c:v>
                </c:pt>
                <c:pt idx="110">
                  <c:v>330.19838509720921</c:v>
                </c:pt>
                <c:pt idx="111">
                  <c:v>330.20063727710124</c:v>
                </c:pt>
                <c:pt idx="112">
                  <c:v>330.20129043619164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6C-4C74-B801-CBB31E7FF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660160"/>
        <c:axId val="1404660640"/>
      </c:scatterChart>
      <c:valAx>
        <c:axId val="14046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60640"/>
        <c:crosses val="autoZero"/>
        <c:crossBetween val="midCat"/>
      </c:valAx>
      <c:valAx>
        <c:axId val="14046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Stress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Output'!$R$1</c:f>
              <c:strCache>
                <c:ptCount val="1"/>
                <c:pt idx="0">
                  <c:v>Crop WSI (0-1)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Output'!$R$2:$R$285</c:f>
              <c:numCache>
                <c:formatCode>General</c:formatCode>
                <c:ptCount val="2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9B-473E-9A2A-D3955E726448}"/>
            </c:ext>
          </c:extLst>
        </c:ser>
        <c:ser>
          <c:idx val="1"/>
          <c:order val="1"/>
          <c:tx>
            <c:strRef>
              <c:f>'Crop One Output'!$S$1</c:f>
              <c:strCache>
                <c:ptCount val="1"/>
                <c:pt idx="0">
                  <c:v>Crop NSI (0-1)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Output'!$A$2:$A$285</c:f>
              <c:numCache>
                <c:formatCode>General</c:formatCode>
                <c:ptCount val="2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Output'!$S$2:$S$285</c:f>
              <c:numCache>
                <c:formatCode>General</c:formatCode>
                <c:ptCount val="2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9B-473E-9A2A-D3955E726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033024"/>
        <c:axId val="392031584"/>
      </c:scatterChart>
      <c:valAx>
        <c:axId val="39203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31584"/>
        <c:crosses val="autoZero"/>
        <c:crossBetween val="midCat"/>
      </c:valAx>
      <c:valAx>
        <c:axId val="3920315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3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Uptake Rate (kg/ha/day)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Output'!$A$2:$A$151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Output'!$AC$2:$AC$151</c:f>
              <c:numCache>
                <c:formatCode>General</c:formatCode>
                <c:ptCount val="150"/>
                <c:pt idx="0">
                  <c:v>0.4159086524630487</c:v>
                </c:pt>
                <c:pt idx="1">
                  <c:v>0.55887903753056845</c:v>
                </c:pt>
                <c:pt idx="2">
                  <c:v>0.56157590305358507</c:v>
                </c:pt>
                <c:pt idx="3">
                  <c:v>0.52719564779690387</c:v>
                </c:pt>
                <c:pt idx="4">
                  <c:v>0.74764611127153202</c:v>
                </c:pt>
                <c:pt idx="5">
                  <c:v>0.65536577629150883</c:v>
                </c:pt>
                <c:pt idx="6">
                  <c:v>0.7226452033364883</c:v>
                </c:pt>
                <c:pt idx="7">
                  <c:v>1.1497885566620456</c:v>
                </c:pt>
                <c:pt idx="8">
                  <c:v>1.1668841202675266</c:v>
                </c:pt>
                <c:pt idx="9">
                  <c:v>1.0227140954682639</c:v>
                </c:pt>
                <c:pt idx="10">
                  <c:v>1.3376734585291752</c:v>
                </c:pt>
                <c:pt idx="11">
                  <c:v>1.7081916631035352</c:v>
                </c:pt>
                <c:pt idx="12">
                  <c:v>1.865204231012356</c:v>
                </c:pt>
                <c:pt idx="13">
                  <c:v>2.2825490105836246</c:v>
                </c:pt>
                <c:pt idx="14">
                  <c:v>2.4105517617509404</c:v>
                </c:pt>
                <c:pt idx="15">
                  <c:v>2.5062541799890194</c:v>
                </c:pt>
                <c:pt idx="16">
                  <c:v>2.6080175108428567</c:v>
                </c:pt>
                <c:pt idx="17">
                  <c:v>2.785715010997984</c:v>
                </c:pt>
                <c:pt idx="18">
                  <c:v>3.4235794768480363</c:v>
                </c:pt>
                <c:pt idx="19">
                  <c:v>4.3745129328950876</c:v>
                </c:pt>
                <c:pt idx="20">
                  <c:v>4.8275742734082669</c:v>
                </c:pt>
                <c:pt idx="21">
                  <c:v>5.2327798665288823</c:v>
                </c:pt>
                <c:pt idx="22">
                  <c:v>5.4749059490858105</c:v>
                </c:pt>
                <c:pt idx="23">
                  <c:v>6.3908121067009045</c:v>
                </c:pt>
                <c:pt idx="24">
                  <c:v>7.8373018624579291</c:v>
                </c:pt>
                <c:pt idx="25">
                  <c:v>8.6131281182894739</c:v>
                </c:pt>
                <c:pt idx="26">
                  <c:v>8.7288533657160947</c:v>
                </c:pt>
                <c:pt idx="27">
                  <c:v>9.1647952027923409</c:v>
                </c:pt>
                <c:pt idx="28">
                  <c:v>9.1299830747302959</c:v>
                </c:pt>
                <c:pt idx="29">
                  <c:v>11.35102087437105</c:v>
                </c:pt>
                <c:pt idx="30">
                  <c:v>11.307648938677449</c:v>
                </c:pt>
                <c:pt idx="31">
                  <c:v>8.5359190094890138</c:v>
                </c:pt>
                <c:pt idx="32">
                  <c:v>10.029264157519931</c:v>
                </c:pt>
                <c:pt idx="33">
                  <c:v>8.1805362538854212</c:v>
                </c:pt>
                <c:pt idx="34">
                  <c:v>7.9636268244669823</c:v>
                </c:pt>
                <c:pt idx="35">
                  <c:v>7.9394148903859376</c:v>
                </c:pt>
                <c:pt idx="36">
                  <c:v>7.504225128875941</c:v>
                </c:pt>
                <c:pt idx="37">
                  <c:v>7.8812428530544016</c:v>
                </c:pt>
                <c:pt idx="38">
                  <c:v>7.8424637478433441</c:v>
                </c:pt>
                <c:pt idx="39">
                  <c:v>7.6678658213209792</c:v>
                </c:pt>
                <c:pt idx="40">
                  <c:v>7.5464390261152303</c:v>
                </c:pt>
                <c:pt idx="41">
                  <c:v>7.3464327074845848</c:v>
                </c:pt>
                <c:pt idx="42">
                  <c:v>7.3320080184387582</c:v>
                </c:pt>
                <c:pt idx="43">
                  <c:v>6.8820725117012262</c:v>
                </c:pt>
                <c:pt idx="44">
                  <c:v>5.0842381288638068</c:v>
                </c:pt>
                <c:pt idx="45">
                  <c:v>5.7772969310266111</c:v>
                </c:pt>
                <c:pt idx="46">
                  <c:v>5.7710981836586388</c:v>
                </c:pt>
                <c:pt idx="47">
                  <c:v>6.2423228884756625</c:v>
                </c:pt>
                <c:pt idx="48">
                  <c:v>6.2730046017093342</c:v>
                </c:pt>
                <c:pt idx="49">
                  <c:v>5.9468258399684313</c:v>
                </c:pt>
                <c:pt idx="50">
                  <c:v>5.1121192200773855</c:v>
                </c:pt>
                <c:pt idx="51">
                  <c:v>5.2059228060157352</c:v>
                </c:pt>
                <c:pt idx="52">
                  <c:v>4.7709434617795861</c:v>
                </c:pt>
                <c:pt idx="53">
                  <c:v>4.5369045159355039</c:v>
                </c:pt>
                <c:pt idx="54">
                  <c:v>4.1280875522239215</c:v>
                </c:pt>
                <c:pt idx="55">
                  <c:v>3.7345097310828579</c:v>
                </c:pt>
                <c:pt idx="56">
                  <c:v>3.2300887119596222</c:v>
                </c:pt>
                <c:pt idx="57">
                  <c:v>2.8840790399724261</c:v>
                </c:pt>
                <c:pt idx="58">
                  <c:v>2.3002091061060175</c:v>
                </c:pt>
                <c:pt idx="59">
                  <c:v>4.6232010979629576</c:v>
                </c:pt>
                <c:pt idx="60">
                  <c:v>2.9809541542441531</c:v>
                </c:pt>
                <c:pt idx="61">
                  <c:v>1.9426432996606791</c:v>
                </c:pt>
                <c:pt idx="62">
                  <c:v>1.2463590603883565</c:v>
                </c:pt>
                <c:pt idx="63">
                  <c:v>0.97902980611082324</c:v>
                </c:pt>
                <c:pt idx="64">
                  <c:v>0.85834394835671013</c:v>
                </c:pt>
                <c:pt idx="65">
                  <c:v>0.44464482930554189</c:v>
                </c:pt>
                <c:pt idx="66">
                  <c:v>0.7751182292999037</c:v>
                </c:pt>
                <c:pt idx="67">
                  <c:v>0.8035578995796433</c:v>
                </c:pt>
                <c:pt idx="68">
                  <c:v>0.81665003432714045</c:v>
                </c:pt>
                <c:pt idx="69">
                  <c:v>0.90299085094520248</c:v>
                </c:pt>
                <c:pt idx="70">
                  <c:v>0.94533860998054919</c:v>
                </c:pt>
                <c:pt idx="71">
                  <c:v>0.98907611498545012</c:v>
                </c:pt>
                <c:pt idx="72">
                  <c:v>0.96234440137558941</c:v>
                </c:pt>
                <c:pt idx="73">
                  <c:v>1.6471643243120422</c:v>
                </c:pt>
                <c:pt idx="74">
                  <c:v>0.73884619973312027</c:v>
                </c:pt>
                <c:pt idx="75">
                  <c:v>0.59465911274196592</c:v>
                </c:pt>
                <c:pt idx="76">
                  <c:v>0.71200976937781102</c:v>
                </c:pt>
                <c:pt idx="77">
                  <c:v>0.6685589748488957</c:v>
                </c:pt>
                <c:pt idx="78">
                  <c:v>0.63318041782903234</c:v>
                </c:pt>
                <c:pt idx="79">
                  <c:v>0.65940868048057488</c:v>
                </c:pt>
                <c:pt idx="80">
                  <c:v>0.66059363988672792</c:v>
                </c:pt>
                <c:pt idx="81">
                  <c:v>0.79527969946958932</c:v>
                </c:pt>
                <c:pt idx="82">
                  <c:v>0.63788035018948197</c:v>
                </c:pt>
                <c:pt idx="83">
                  <c:v>0.65946861189408734</c:v>
                </c:pt>
                <c:pt idx="84">
                  <c:v>0.6382462456124699</c:v>
                </c:pt>
                <c:pt idx="85">
                  <c:v>0.6486327956788801</c:v>
                </c:pt>
                <c:pt idx="86">
                  <c:v>0.65531449426739496</c:v>
                </c:pt>
                <c:pt idx="87">
                  <c:v>0.47152216738462205</c:v>
                </c:pt>
                <c:pt idx="88">
                  <c:v>0.42307935223431792</c:v>
                </c:pt>
                <c:pt idx="89">
                  <c:v>0.43763827633686025</c:v>
                </c:pt>
                <c:pt idx="90">
                  <c:v>0.43608647297854741</c:v>
                </c:pt>
                <c:pt idx="91">
                  <c:v>0.36559682526048076</c:v>
                </c:pt>
                <c:pt idx="92">
                  <c:v>0.29873918475795125</c:v>
                </c:pt>
                <c:pt idx="93">
                  <c:v>0.42788301586917099</c:v>
                </c:pt>
                <c:pt idx="94">
                  <c:v>0.27772613283204295</c:v>
                </c:pt>
                <c:pt idx="95">
                  <c:v>0.20803960381184095</c:v>
                </c:pt>
                <c:pt idx="96">
                  <c:v>0.26441964881586399</c:v>
                </c:pt>
                <c:pt idx="97">
                  <c:v>0.22068353934562301</c:v>
                </c:pt>
                <c:pt idx="98">
                  <c:v>0.19087280479140878</c:v>
                </c:pt>
                <c:pt idx="99">
                  <c:v>0.1865189602102274</c:v>
                </c:pt>
                <c:pt idx="100">
                  <c:v>7.4899007070361456E-2</c:v>
                </c:pt>
                <c:pt idx="101">
                  <c:v>5.2993322435315737E-2</c:v>
                </c:pt>
                <c:pt idx="102">
                  <c:v>7.963341150121761E-2</c:v>
                </c:pt>
                <c:pt idx="103">
                  <c:v>6.2023419976492411E-2</c:v>
                </c:pt>
                <c:pt idx="104">
                  <c:v>4.4418461279810417E-2</c:v>
                </c:pt>
                <c:pt idx="105">
                  <c:v>3.6460646897912286E-2</c:v>
                </c:pt>
                <c:pt idx="106">
                  <c:v>2.9852164616026022E-2</c:v>
                </c:pt>
                <c:pt idx="107">
                  <c:v>2.0338185829013589E-2</c:v>
                </c:pt>
                <c:pt idx="108">
                  <c:v>1.4879761718947226E-2</c:v>
                </c:pt>
                <c:pt idx="109">
                  <c:v>9.965631126221397E-3</c:v>
                </c:pt>
                <c:pt idx="110">
                  <c:v>5.8018043942731357E-3</c:v>
                </c:pt>
                <c:pt idx="111">
                  <c:v>2.2521798920260849E-3</c:v>
                </c:pt>
                <c:pt idx="112">
                  <c:v>6.531590904246265E-4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3-4E5C-BDD6-8E371422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715680"/>
        <c:axId val="394726720"/>
      </c:scatterChart>
      <c:valAx>
        <c:axId val="39471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26720"/>
        <c:crosses val="autoZero"/>
        <c:crossBetween val="midCat"/>
      </c:valAx>
      <c:valAx>
        <c:axId val="39472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1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Content Top 50 cm (0-1)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Output'!$U$1</c:f>
              <c:strCache>
                <c:ptCount val="1"/>
                <c:pt idx="0">
                  <c:v>PAW Depletion Top 50 cm (0-1)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'Crop One Output'!$U$2:$U$114</c:f>
              <c:numCache>
                <c:formatCode>General</c:formatCode>
                <c:ptCount val="113"/>
                <c:pt idx="0">
                  <c:v>0.23500930459175584</c:v>
                </c:pt>
                <c:pt idx="1">
                  <c:v>0.23476905671561948</c:v>
                </c:pt>
                <c:pt idx="2">
                  <c:v>0.23449577592963511</c:v>
                </c:pt>
                <c:pt idx="3">
                  <c:v>0.23425996466723958</c:v>
                </c:pt>
                <c:pt idx="4">
                  <c:v>0.23382284902112657</c:v>
                </c:pt>
                <c:pt idx="5">
                  <c:v>0.23347055183676346</c:v>
                </c:pt>
                <c:pt idx="6">
                  <c:v>0.23317855908037993</c:v>
                </c:pt>
                <c:pt idx="7">
                  <c:v>0.23260288100333087</c:v>
                </c:pt>
                <c:pt idx="8">
                  <c:v>0.23196910015774241</c:v>
                </c:pt>
                <c:pt idx="9">
                  <c:v>0.23155586125938776</c:v>
                </c:pt>
                <c:pt idx="10">
                  <c:v>0.23095579467623284</c:v>
                </c:pt>
                <c:pt idx="11">
                  <c:v>0.23001015553196913</c:v>
                </c:pt>
                <c:pt idx="12">
                  <c:v>0.22883652837078045</c:v>
                </c:pt>
                <c:pt idx="13">
                  <c:v>0.22752353242273765</c:v>
                </c:pt>
                <c:pt idx="14">
                  <c:v>0.22609123621690314</c:v>
                </c:pt>
                <c:pt idx="15">
                  <c:v>0.22440803412454016</c:v>
                </c:pt>
                <c:pt idx="16">
                  <c:v>0.22259869777965463</c:v>
                </c:pt>
                <c:pt idx="17">
                  <c:v>0.22074332226345</c:v>
                </c:pt>
                <c:pt idx="18">
                  <c:v>0.21894290923031012</c:v>
                </c:pt>
                <c:pt idx="19">
                  <c:v>0.21601089266447376</c:v>
                </c:pt>
                <c:pt idx="20">
                  <c:v>0.21257968400956373</c:v>
                </c:pt>
                <c:pt idx="21">
                  <c:v>0.20852499249269313</c:v>
                </c:pt>
                <c:pt idx="22">
                  <c:v>0.20512717341659537</c:v>
                </c:pt>
                <c:pt idx="23">
                  <c:v>0.20195898660232253</c:v>
                </c:pt>
                <c:pt idx="24">
                  <c:v>0.19778134067653821</c:v>
                </c:pt>
                <c:pt idx="25">
                  <c:v>0.19319739676346209</c:v>
                </c:pt>
                <c:pt idx="26">
                  <c:v>0.18856852526926524</c:v>
                </c:pt>
                <c:pt idx="27">
                  <c:v>0.18410072674043315</c:v>
                </c:pt>
                <c:pt idx="28">
                  <c:v>0.17987314847770297</c:v>
                </c:pt>
                <c:pt idx="29">
                  <c:v>0.17436725153090984</c:v>
                </c:pt>
                <c:pt idx="30">
                  <c:v>0.16838226893521113</c:v>
                </c:pt>
                <c:pt idx="31">
                  <c:v>0.22946443106903427</c:v>
                </c:pt>
                <c:pt idx="32">
                  <c:v>0.22355379517939772</c:v>
                </c:pt>
                <c:pt idx="33">
                  <c:v>0.21854291350146027</c:v>
                </c:pt>
                <c:pt idx="34">
                  <c:v>0.21315174042741555</c:v>
                </c:pt>
                <c:pt idx="35">
                  <c:v>0.20809246807777151</c:v>
                </c:pt>
                <c:pt idx="36">
                  <c:v>0.20307403535532464</c:v>
                </c:pt>
                <c:pt idx="37">
                  <c:v>0.19764360739541939</c:v>
                </c:pt>
                <c:pt idx="38">
                  <c:v>0.19179328555735248</c:v>
                </c:pt>
                <c:pt idx="39">
                  <c:v>0.18567682150235904</c:v>
                </c:pt>
                <c:pt idx="40">
                  <c:v>0.17902446640220998</c:v>
                </c:pt>
                <c:pt idx="41">
                  <c:v>0.17215628538599628</c:v>
                </c:pt>
                <c:pt idx="42">
                  <c:v>0.1656572902804713</c:v>
                </c:pt>
                <c:pt idx="43">
                  <c:v>0.15978281826916227</c:v>
                </c:pt>
                <c:pt idx="44">
                  <c:v>0.15702187363183762</c:v>
                </c:pt>
                <c:pt idx="45">
                  <c:v>0.22963736974252238</c:v>
                </c:pt>
                <c:pt idx="46">
                  <c:v>0.22547091416810491</c:v>
                </c:pt>
                <c:pt idx="47">
                  <c:v>0.21986778661105957</c:v>
                </c:pt>
                <c:pt idx="48">
                  <c:v>0.21379204742876889</c:v>
                </c:pt>
                <c:pt idx="49">
                  <c:v>0.20779231240779436</c:v>
                </c:pt>
                <c:pt idx="50">
                  <c:v>0.20297235211612205</c:v>
                </c:pt>
                <c:pt idx="51">
                  <c:v>0.1962941367477006</c:v>
                </c:pt>
                <c:pt idx="52">
                  <c:v>0.19041882291283257</c:v>
                </c:pt>
                <c:pt idx="53">
                  <c:v>0.1836852928036127</c:v>
                </c:pt>
                <c:pt idx="54">
                  <c:v>0.17753417245621841</c:v>
                </c:pt>
                <c:pt idx="55">
                  <c:v>0.1710990360835016</c:v>
                </c:pt>
                <c:pt idx="56">
                  <c:v>0.16504426630476923</c:v>
                </c:pt>
                <c:pt idx="57">
                  <c:v>0.15851676216907515</c:v>
                </c:pt>
                <c:pt idx="58">
                  <c:v>0.15332301944335874</c:v>
                </c:pt>
                <c:pt idx="59">
                  <c:v>0.22887652196114608</c:v>
                </c:pt>
                <c:pt idx="60">
                  <c:v>0.22267520608408292</c:v>
                </c:pt>
                <c:pt idx="61">
                  <c:v>0.2163977885959476</c:v>
                </c:pt>
                <c:pt idx="62">
                  <c:v>0.21043187311721018</c:v>
                </c:pt>
                <c:pt idx="63">
                  <c:v>0.20408990558651716</c:v>
                </c:pt>
                <c:pt idx="64">
                  <c:v>0.19782684011110563</c:v>
                </c:pt>
                <c:pt idx="65">
                  <c:v>0.19459085170764118</c:v>
                </c:pt>
                <c:pt idx="66">
                  <c:v>0.18940280905677312</c:v>
                </c:pt>
                <c:pt idx="67">
                  <c:v>0.18368555424323024</c:v>
                </c:pt>
                <c:pt idx="68">
                  <c:v>0.17801946248668238</c:v>
                </c:pt>
                <c:pt idx="69">
                  <c:v>0.17191559210503349</c:v>
                </c:pt>
                <c:pt idx="70">
                  <c:v>0.16574913803781571</c:v>
                </c:pt>
                <c:pt idx="71">
                  <c:v>0.15956810233490312</c:v>
                </c:pt>
                <c:pt idx="72">
                  <c:v>0.15393742940022981</c:v>
                </c:pt>
                <c:pt idx="73">
                  <c:v>0.22875517534590978</c:v>
                </c:pt>
                <c:pt idx="74">
                  <c:v>0.22198304655829343</c:v>
                </c:pt>
                <c:pt idx="75">
                  <c:v>0.21641135993093341</c:v>
                </c:pt>
                <c:pt idx="76">
                  <c:v>0.20986468844498707</c:v>
                </c:pt>
                <c:pt idx="77">
                  <c:v>0.20382243584326196</c:v>
                </c:pt>
                <c:pt idx="78">
                  <c:v>0.19820274247875549</c:v>
                </c:pt>
                <c:pt idx="79">
                  <c:v>0.19247144179426184</c:v>
                </c:pt>
                <c:pt idx="80">
                  <c:v>0.18686995596531336</c:v>
                </c:pt>
                <c:pt idx="81">
                  <c:v>0.18027771326829911</c:v>
                </c:pt>
                <c:pt idx="82">
                  <c:v>0.17522819181640056</c:v>
                </c:pt>
                <c:pt idx="83">
                  <c:v>0.17017941874172832</c:v>
                </c:pt>
                <c:pt idx="84">
                  <c:v>0.16551441292212868</c:v>
                </c:pt>
                <c:pt idx="85">
                  <c:v>0.16098325421140847</c:v>
                </c:pt>
                <c:pt idx="86">
                  <c:v>0.15664276603560179</c:v>
                </c:pt>
                <c:pt idx="87">
                  <c:v>0.23249797460326665</c:v>
                </c:pt>
                <c:pt idx="88">
                  <c:v>0.22792169264951623</c:v>
                </c:pt>
                <c:pt idx="89">
                  <c:v>0.22327517683515991</c:v>
                </c:pt>
                <c:pt idx="90">
                  <c:v>0.21872766796631876</c:v>
                </c:pt>
                <c:pt idx="91">
                  <c:v>0.21497302658835071</c:v>
                </c:pt>
                <c:pt idx="92">
                  <c:v>0.21514016703406882</c:v>
                </c:pt>
                <c:pt idx="93">
                  <c:v>0.21085838992103079</c:v>
                </c:pt>
                <c:pt idx="94">
                  <c:v>0.20811707818714051</c:v>
                </c:pt>
                <c:pt idx="95">
                  <c:v>0.20609062082724633</c:v>
                </c:pt>
                <c:pt idx="96">
                  <c:v>0.20354503154223563</c:v>
                </c:pt>
                <c:pt idx="97">
                  <c:v>0.20144902530314779</c:v>
                </c:pt>
                <c:pt idx="98">
                  <c:v>0.19965887909690005</c:v>
                </c:pt>
                <c:pt idx="99">
                  <c:v>0.19792949077311861</c:v>
                </c:pt>
                <c:pt idx="100">
                  <c:v>0.1972616392300546</c:v>
                </c:pt>
                <c:pt idx="101">
                  <c:v>0.19679835731147458</c:v>
                </c:pt>
                <c:pt idx="102">
                  <c:v>0.20360315037327056</c:v>
                </c:pt>
                <c:pt idx="103">
                  <c:v>0.20304295363113059</c:v>
                </c:pt>
                <c:pt idx="104">
                  <c:v>0.20264585351746439</c:v>
                </c:pt>
                <c:pt idx="105">
                  <c:v>0.20232161066990911</c:v>
                </c:pt>
                <c:pt idx="106">
                  <c:v>0.2020574668562079</c:v>
                </c:pt>
                <c:pt idx="107">
                  <c:v>0.20187921528042799</c:v>
                </c:pt>
                <c:pt idx="108">
                  <c:v>0.201749827218454</c:v>
                </c:pt>
                <c:pt idx="109">
                  <c:v>0.20166413177663717</c:v>
                </c:pt>
                <c:pt idx="110">
                  <c:v>0.20161468294573631</c:v>
                </c:pt>
                <c:pt idx="111">
                  <c:v>0.20159579771965422</c:v>
                </c:pt>
                <c:pt idx="112">
                  <c:v>0.2015904319485527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0-4271-991D-F39C91B81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0240"/>
        <c:axId val="467288400"/>
      </c:scatterChart>
      <c:valAx>
        <c:axId val="46728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8400"/>
        <c:crosses val="autoZero"/>
        <c:crossBetween val="midCat"/>
      </c:valAx>
      <c:valAx>
        <c:axId val="46728840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Content Mid 50 cm (0-1)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Output'!$V$1</c:f>
              <c:strCache>
                <c:ptCount val="1"/>
                <c:pt idx="0">
                  <c:v>PAW Depletion Mid 50 cm (0-1)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'Crop One Output'!$V$2:$V$114</c:f>
              <c:numCache>
                <c:formatCode>General</c:formatCode>
                <c:ptCount val="113"/>
                <c:pt idx="0">
                  <c:v>0.2295591675778951</c:v>
                </c:pt>
                <c:pt idx="1">
                  <c:v>0.2295591675778951</c:v>
                </c:pt>
                <c:pt idx="2">
                  <c:v>0.2295591675778951</c:v>
                </c:pt>
                <c:pt idx="3">
                  <c:v>0.2295591675778951</c:v>
                </c:pt>
                <c:pt idx="4">
                  <c:v>0.2295591675778951</c:v>
                </c:pt>
                <c:pt idx="5">
                  <c:v>0.2295591675778951</c:v>
                </c:pt>
                <c:pt idx="6">
                  <c:v>0.2295591675778951</c:v>
                </c:pt>
                <c:pt idx="7">
                  <c:v>0.2295591675778951</c:v>
                </c:pt>
                <c:pt idx="8">
                  <c:v>0.2295591675778951</c:v>
                </c:pt>
                <c:pt idx="9">
                  <c:v>0.2295591675778951</c:v>
                </c:pt>
                <c:pt idx="10">
                  <c:v>0.2295591675778951</c:v>
                </c:pt>
                <c:pt idx="11">
                  <c:v>0.2295591675778951</c:v>
                </c:pt>
                <c:pt idx="12">
                  <c:v>0.2295591675778951</c:v>
                </c:pt>
                <c:pt idx="13">
                  <c:v>0.2295591675778951</c:v>
                </c:pt>
                <c:pt idx="14">
                  <c:v>0.2295591675778951</c:v>
                </c:pt>
                <c:pt idx="15">
                  <c:v>0.2295591675778951</c:v>
                </c:pt>
                <c:pt idx="16">
                  <c:v>0.2295591675778951</c:v>
                </c:pt>
                <c:pt idx="17">
                  <c:v>0.2295591675778951</c:v>
                </c:pt>
                <c:pt idx="18">
                  <c:v>0.22955745096208782</c:v>
                </c:pt>
                <c:pt idx="19">
                  <c:v>0.22952808728091809</c:v>
                </c:pt>
                <c:pt idx="20">
                  <c:v>0.22943202303834048</c:v>
                </c:pt>
                <c:pt idx="21">
                  <c:v>0.22921297334272012</c:v>
                </c:pt>
                <c:pt idx="22">
                  <c:v>0.22891188600211126</c:v>
                </c:pt>
                <c:pt idx="23">
                  <c:v>0.22850644421834954</c:v>
                </c:pt>
                <c:pt idx="24">
                  <c:v>0.22781436170656741</c:v>
                </c:pt>
                <c:pt idx="25">
                  <c:v>0.22690042313111419</c:v>
                </c:pt>
                <c:pt idx="26">
                  <c:v>0.22587512578794566</c:v>
                </c:pt>
                <c:pt idx="27">
                  <c:v>0.22484094817965916</c:v>
                </c:pt>
                <c:pt idx="28">
                  <c:v>0.22386917641026138</c:v>
                </c:pt>
                <c:pt idx="29">
                  <c:v>0.22239409657852635</c:v>
                </c:pt>
                <c:pt idx="30">
                  <c:v>0.22060005031464938</c:v>
                </c:pt>
                <c:pt idx="31">
                  <c:v>0.30431355950982997</c:v>
                </c:pt>
                <c:pt idx="32">
                  <c:v>0.30151490198250575</c:v>
                </c:pt>
                <c:pt idx="33">
                  <c:v>0.29903618633489698</c:v>
                </c:pt>
                <c:pt idx="34">
                  <c:v>0.29626487784704542</c:v>
                </c:pt>
                <c:pt idx="35">
                  <c:v>0.2935764851412761</c:v>
                </c:pt>
                <c:pt idx="36">
                  <c:v>0.29082966607362276</c:v>
                </c:pt>
                <c:pt idx="37">
                  <c:v>0.28777939483915593</c:v>
                </c:pt>
                <c:pt idx="38">
                  <c:v>0.28441271373084048</c:v>
                </c:pt>
                <c:pt idx="39">
                  <c:v>0.28080455680940564</c:v>
                </c:pt>
                <c:pt idx="40">
                  <c:v>0.27678554815434342</c:v>
                </c:pt>
                <c:pt idx="41">
                  <c:v>0.27251118847797179</c:v>
                </c:pt>
                <c:pt idx="42">
                  <c:v>0.26828662846077689</c:v>
                </c:pt>
                <c:pt idx="43">
                  <c:v>0.26423009370170708</c:v>
                </c:pt>
                <c:pt idx="44">
                  <c:v>0.26178176196332209</c:v>
                </c:pt>
                <c:pt idx="45">
                  <c:v>0.30365009920124458</c:v>
                </c:pt>
                <c:pt idx="46">
                  <c:v>0.3009520639291024</c:v>
                </c:pt>
                <c:pt idx="47">
                  <c:v>0.29765685077096604</c:v>
                </c:pt>
                <c:pt idx="48">
                  <c:v>0.2940593881449689</c:v>
                </c:pt>
                <c:pt idx="49">
                  <c:v>0.29048263410781228</c:v>
                </c:pt>
                <c:pt idx="50">
                  <c:v>0.28758382172521507</c:v>
                </c:pt>
                <c:pt idx="51">
                  <c:v>0.28354249148000499</c:v>
                </c:pt>
                <c:pt idx="52">
                  <c:v>0.27994071867332077</c:v>
                </c:pt>
                <c:pt idx="53">
                  <c:v>0.27577504382182189</c:v>
                </c:pt>
                <c:pt idx="54">
                  <c:v>0.27188415420444689</c:v>
                </c:pt>
                <c:pt idx="55">
                  <c:v>0.26773204899727887</c:v>
                </c:pt>
                <c:pt idx="56">
                  <c:v>0.26368155286235645</c:v>
                </c:pt>
                <c:pt idx="57">
                  <c:v>0.25918940542452129</c:v>
                </c:pt>
                <c:pt idx="58">
                  <c:v>0.25526837094733806</c:v>
                </c:pt>
                <c:pt idx="59">
                  <c:v>0.30314893723382674</c:v>
                </c:pt>
                <c:pt idx="60">
                  <c:v>0.29947502616747712</c:v>
                </c:pt>
                <c:pt idx="61">
                  <c:v>0.29574375638274419</c:v>
                </c:pt>
                <c:pt idx="62">
                  <c:v>0.29218332202303615</c:v>
                </c:pt>
                <c:pt idx="63">
                  <c:v>0.28837690043250352</c:v>
                </c:pt>
                <c:pt idx="64">
                  <c:v>0.28458912711762513</c:v>
                </c:pt>
                <c:pt idx="65">
                  <c:v>0.28257996513590317</c:v>
                </c:pt>
                <c:pt idx="66">
                  <c:v>0.27910325794464386</c:v>
                </c:pt>
                <c:pt idx="67">
                  <c:v>0.27553472632610526</c:v>
                </c:pt>
                <c:pt idx="68">
                  <c:v>0.27193776297758115</c:v>
                </c:pt>
                <c:pt idx="69">
                  <c:v>0.26799609076323039</c:v>
                </c:pt>
                <c:pt idx="70">
                  <c:v>0.26390116485679826</c:v>
                </c:pt>
                <c:pt idx="71">
                  <c:v>0.25964263866292114</c:v>
                </c:pt>
                <c:pt idx="72">
                  <c:v>0.25550783485759182</c:v>
                </c:pt>
                <c:pt idx="73">
                  <c:v>0.30307612926468497</c:v>
                </c:pt>
                <c:pt idx="74">
                  <c:v>0.29905953965372983</c:v>
                </c:pt>
                <c:pt idx="75">
                  <c:v>0.29575018901230438</c:v>
                </c:pt>
                <c:pt idx="76">
                  <c:v>0.29184135173156078</c:v>
                </c:pt>
                <c:pt idx="77">
                  <c:v>0.2882125315415679</c:v>
                </c:pt>
                <c:pt idx="78">
                  <c:v>0.28480940559099899</c:v>
                </c:pt>
                <c:pt idx="79">
                  <c:v>0.28130569531312422</c:v>
                </c:pt>
                <c:pt idx="80">
                  <c:v>0.2778356948512703</c:v>
                </c:pt>
                <c:pt idx="81">
                  <c:v>0.27371571216884188</c:v>
                </c:pt>
                <c:pt idx="82">
                  <c:v>0.27043507006377976</c:v>
                </c:pt>
                <c:pt idx="83">
                  <c:v>0.26707126329964892</c:v>
                </c:pt>
                <c:pt idx="84">
                  <c:v>0.26383387654064466</c:v>
                </c:pt>
                <c:pt idx="85">
                  <c:v>0.26055995059138848</c:v>
                </c:pt>
                <c:pt idx="86">
                  <c:v>0.25726407040423754</c:v>
                </c:pt>
                <c:pt idx="87">
                  <c:v>0.30531985672366418</c:v>
                </c:pt>
                <c:pt idx="88">
                  <c:v>0.30262353752867244</c:v>
                </c:pt>
                <c:pt idx="89">
                  <c:v>0.29987764657653443</c:v>
                </c:pt>
                <c:pt idx="90">
                  <c:v>0.29718201496402458</c:v>
                </c:pt>
                <c:pt idx="91">
                  <c:v>0.29495146726221305</c:v>
                </c:pt>
                <c:pt idx="92">
                  <c:v>0.29314845439629578</c:v>
                </c:pt>
                <c:pt idx="93">
                  <c:v>0.29059933862688725</c:v>
                </c:pt>
                <c:pt idx="94">
                  <c:v>0.28896291910074795</c:v>
                </c:pt>
                <c:pt idx="95">
                  <c:v>0.28774768151856589</c:v>
                </c:pt>
                <c:pt idx="96">
                  <c:v>0.28621571399986845</c:v>
                </c:pt>
                <c:pt idx="97">
                  <c:v>0.28494765922245308</c:v>
                </c:pt>
                <c:pt idx="98">
                  <c:v>0.28385954465645674</c:v>
                </c:pt>
                <c:pt idx="99">
                  <c:v>0.28280614796133369</c:v>
                </c:pt>
                <c:pt idx="100">
                  <c:v>0.28238902731343957</c:v>
                </c:pt>
                <c:pt idx="101">
                  <c:v>0.28209670249273844</c:v>
                </c:pt>
                <c:pt idx="102">
                  <c:v>0.28165999508814099</c:v>
                </c:pt>
                <c:pt idx="103">
                  <c:v>0.28132253278603592</c:v>
                </c:pt>
                <c:pt idx="104">
                  <c:v>0.28108290851486312</c:v>
                </c:pt>
                <c:pt idx="105">
                  <c:v>0.28088715426562594</c:v>
                </c:pt>
                <c:pt idx="106">
                  <c:v>0.28072766235614427</c:v>
                </c:pt>
                <c:pt idx="107">
                  <c:v>0.28061991584027857</c:v>
                </c:pt>
                <c:pt idx="108">
                  <c:v>0.28054168992036221</c:v>
                </c:pt>
                <c:pt idx="109">
                  <c:v>0.28048985416259969</c:v>
                </c:pt>
                <c:pt idx="110">
                  <c:v>0.2804599108056664</c:v>
                </c:pt>
                <c:pt idx="111">
                  <c:v>0.28044842114111163</c:v>
                </c:pt>
                <c:pt idx="112">
                  <c:v>0.28044513315518182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2E-4C35-9CAE-6FD5C8A70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0240"/>
        <c:axId val="467288400"/>
      </c:scatterChart>
      <c:valAx>
        <c:axId val="46728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8400"/>
        <c:crosses val="autoZero"/>
        <c:crossBetween val="midCat"/>
      </c:valAx>
      <c:valAx>
        <c:axId val="46728840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240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Content bottom 50 cm (0-1)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Output'!$W$1</c:f>
              <c:strCache>
                <c:ptCount val="1"/>
                <c:pt idx="0">
                  <c:v>PAW Depletion bottom 50 cm (0-1)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'Crop One Output'!$W$2:$W$114</c:f>
              <c:numCache>
                <c:formatCode>General</c:formatCode>
                <c:ptCount val="11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0.20000230386932527</c:v>
                </c:pt>
                <c:pt idx="29">
                  <c:v>0.20002662376548849</c:v>
                </c:pt>
                <c:pt idx="30">
                  <c:v>0.20008562150655754</c:v>
                </c:pt>
                <c:pt idx="31">
                  <c:v>0.28706970051281144</c:v>
                </c:pt>
                <c:pt idx="32">
                  <c:v>0.28680396714126566</c:v>
                </c:pt>
                <c:pt idx="33">
                  <c:v>0.28649773661349498</c:v>
                </c:pt>
                <c:pt idx="34">
                  <c:v>0.28607937060031985</c:v>
                </c:pt>
                <c:pt idx="35">
                  <c:v>0.28560634580394362</c:v>
                </c:pt>
                <c:pt idx="36">
                  <c:v>0.28507389097706959</c:v>
                </c:pt>
                <c:pt idx="37">
                  <c:v>0.28444240687046651</c:v>
                </c:pt>
                <c:pt idx="38">
                  <c:v>0.28370926259111062</c:v>
                </c:pt>
                <c:pt idx="39">
                  <c:v>0.28289108292687459</c:v>
                </c:pt>
                <c:pt idx="40">
                  <c:v>0.28194215981453702</c:v>
                </c:pt>
                <c:pt idx="41">
                  <c:v>0.28089789095558382</c:v>
                </c:pt>
                <c:pt idx="42">
                  <c:v>0.2798404393236652</c:v>
                </c:pt>
                <c:pt idx="43">
                  <c:v>0.27880531627607696</c:v>
                </c:pt>
                <c:pt idx="44">
                  <c:v>0.27822485262351543</c:v>
                </c:pt>
                <c:pt idx="45">
                  <c:v>0.34440365838525716</c:v>
                </c:pt>
                <c:pt idx="46">
                  <c:v>0.34355471009828609</c:v>
                </c:pt>
                <c:pt idx="47">
                  <c:v>0.34249868975721831</c:v>
                </c:pt>
                <c:pt idx="48">
                  <c:v>0.34132745373789408</c:v>
                </c:pt>
                <c:pt idx="49">
                  <c:v>0.34014587516692774</c:v>
                </c:pt>
                <c:pt idx="50">
                  <c:v>0.33917263497958433</c:v>
                </c:pt>
                <c:pt idx="51">
                  <c:v>0.3378060952036212</c:v>
                </c:pt>
                <c:pt idx="52">
                  <c:v>0.33657734565857333</c:v>
                </c:pt>
                <c:pt idx="53">
                  <c:v>0.33515165068536285</c:v>
                </c:pt>
                <c:pt idx="54">
                  <c:v>0.33380548686093159</c:v>
                </c:pt>
                <c:pt idx="55">
                  <c:v>0.33235912561543784</c:v>
                </c:pt>
                <c:pt idx="56">
                  <c:v>0.33093026292883743</c:v>
                </c:pt>
                <c:pt idx="57">
                  <c:v>0.32933549152783625</c:v>
                </c:pt>
                <c:pt idx="58">
                  <c:v>0.32790653018352045</c:v>
                </c:pt>
                <c:pt idx="59">
                  <c:v>0.34416498313370059</c:v>
                </c:pt>
                <c:pt idx="60">
                  <c:v>0.34294476042803629</c:v>
                </c:pt>
                <c:pt idx="61">
                  <c:v>0.34170105653766447</c:v>
                </c:pt>
                <c:pt idx="62">
                  <c:v>0.34050920256365597</c:v>
                </c:pt>
                <c:pt idx="63">
                  <c:v>0.33922977470477811</c:v>
                </c:pt>
                <c:pt idx="64">
                  <c:v>0.33794970830884175</c:v>
                </c:pt>
                <c:pt idx="65">
                  <c:v>0.3372546394126984</c:v>
                </c:pt>
                <c:pt idx="66">
                  <c:v>0.33606577518398584</c:v>
                </c:pt>
                <c:pt idx="67">
                  <c:v>0.3348373698237363</c:v>
                </c:pt>
                <c:pt idx="68">
                  <c:v>0.33358900313423645</c:v>
                </c:pt>
                <c:pt idx="69">
                  <c:v>0.33221362045651431</c:v>
                </c:pt>
                <c:pt idx="70">
                  <c:v>0.33077178316527295</c:v>
                </c:pt>
                <c:pt idx="71">
                  <c:v>0.32925674953676765</c:v>
                </c:pt>
                <c:pt idx="72">
                  <c:v>0.32776010707350067</c:v>
                </c:pt>
                <c:pt idx="73">
                  <c:v>0.34414071381065331</c:v>
                </c:pt>
                <c:pt idx="74">
                  <c:v>0.34280618469426133</c:v>
                </c:pt>
                <c:pt idx="75">
                  <c:v>0.34170258983211471</c:v>
                </c:pt>
                <c:pt idx="76">
                  <c:v>0.34039461268221388</c:v>
                </c:pt>
                <c:pt idx="77">
                  <c:v>0.33917380973440281</c:v>
                </c:pt>
                <c:pt idx="78">
                  <c:v>0.33802164294913095</c:v>
                </c:pt>
                <c:pt idx="79">
                  <c:v>0.33682888991768589</c:v>
                </c:pt>
                <c:pt idx="80">
                  <c:v>0.3356390920286868</c:v>
                </c:pt>
                <c:pt idx="81">
                  <c:v>0.33422327610544744</c:v>
                </c:pt>
                <c:pt idx="82">
                  <c:v>0.33307436895380815</c:v>
                </c:pt>
                <c:pt idx="83">
                  <c:v>0.33188624792341559</c:v>
                </c:pt>
                <c:pt idx="84">
                  <c:v>0.33072704548790854</c:v>
                </c:pt>
                <c:pt idx="85">
                  <c:v>0.32954152248227347</c:v>
                </c:pt>
                <c:pt idx="86">
                  <c:v>0.3283328557929926</c:v>
                </c:pt>
                <c:pt idx="87">
                  <c:v>0.34488833239176248</c:v>
                </c:pt>
                <c:pt idx="88">
                  <c:v>0.34399593201847145</c:v>
                </c:pt>
                <c:pt idx="89">
                  <c:v>0.34308418198343216</c:v>
                </c:pt>
                <c:pt idx="90">
                  <c:v>0.34218612678374399</c:v>
                </c:pt>
                <c:pt idx="91">
                  <c:v>0.34143996548929079</c:v>
                </c:pt>
                <c:pt idx="92">
                  <c:v>0.34083372186607808</c:v>
                </c:pt>
                <c:pt idx="93">
                  <c:v>0.33997683212903856</c:v>
                </c:pt>
                <c:pt idx="94">
                  <c:v>0.33942146897246406</c:v>
                </c:pt>
                <c:pt idx="95">
                  <c:v>0.33900529827819614</c:v>
                </c:pt>
                <c:pt idx="96">
                  <c:v>0.33848324377080857</c:v>
                </c:pt>
                <c:pt idx="97">
                  <c:v>0.3380488469276734</c:v>
                </c:pt>
                <c:pt idx="98">
                  <c:v>0.337674791689206</c:v>
                </c:pt>
                <c:pt idx="99">
                  <c:v>0.33731313995198697</c:v>
                </c:pt>
                <c:pt idx="100">
                  <c:v>0.33716462822592314</c:v>
                </c:pt>
                <c:pt idx="101">
                  <c:v>0.33705927322354007</c:v>
                </c:pt>
                <c:pt idx="102">
                  <c:v>0.33690728457356783</c:v>
                </c:pt>
                <c:pt idx="103">
                  <c:v>0.33678962412733382</c:v>
                </c:pt>
                <c:pt idx="104">
                  <c:v>0.33670568424896352</c:v>
                </c:pt>
                <c:pt idx="105">
                  <c:v>0.33663731598545316</c:v>
                </c:pt>
                <c:pt idx="106">
                  <c:v>0.3365818128346959</c:v>
                </c:pt>
                <c:pt idx="107">
                  <c:v>0.33654418289553029</c:v>
                </c:pt>
                <c:pt idx="108">
                  <c:v>0.33651688908890753</c:v>
                </c:pt>
                <c:pt idx="109">
                  <c:v>0.33649877871966144</c:v>
                </c:pt>
                <c:pt idx="110">
                  <c:v>0.33648826432324475</c:v>
                </c:pt>
                <c:pt idx="111">
                  <c:v>0.33648412960977314</c:v>
                </c:pt>
                <c:pt idx="112">
                  <c:v>0.33648290242047274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08-4418-84B4-2AE5B325C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0240"/>
        <c:axId val="467288400"/>
      </c:scatterChart>
      <c:valAx>
        <c:axId val="46728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8400"/>
        <c:crosses val="autoZero"/>
        <c:crossBetween val="midCat"/>
      </c:valAx>
      <c:valAx>
        <c:axId val="4672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Output'!$T$1</c:f>
              <c:strCache>
                <c:ptCount val="1"/>
                <c:pt idx="0">
                  <c:v>PAW Depletion Profile (0-1)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'Crop One Output'!$T$2:$T$114</c:f>
              <c:numCache>
                <c:formatCode>General</c:formatCode>
                <c:ptCount val="113"/>
                <c:pt idx="0">
                  <c:v>3.2796018682651083E-3</c:v>
                </c:pt>
                <c:pt idx="1">
                  <c:v>7.9053888711521272E-3</c:v>
                </c:pt>
                <c:pt idx="2">
                  <c:v>1.3080957451102979E-2</c:v>
                </c:pt>
                <c:pt idx="3">
                  <c:v>1.7441089375459937E-2</c:v>
                </c:pt>
                <c:pt idx="4">
                  <c:v>2.5417512949208201E-2</c:v>
                </c:pt>
                <c:pt idx="5">
                  <c:v>3.1611135693274797E-2</c:v>
                </c:pt>
                <c:pt idx="6">
                  <c:v>3.6494812330740152E-2</c:v>
                </c:pt>
                <c:pt idx="7">
                  <c:v>4.6093937272445921E-2</c:v>
                </c:pt>
                <c:pt idx="8">
                  <c:v>5.6217825764795643E-2</c:v>
                </c:pt>
                <c:pt idx="9">
                  <c:v>6.2110690140571988E-2</c:v>
                </c:pt>
                <c:pt idx="10">
                  <c:v>7.0481018500633499E-2</c:v>
                </c:pt>
                <c:pt idx="11">
                  <c:v>8.3406555440688451E-2</c:v>
                </c:pt>
                <c:pt idx="12">
                  <c:v>9.8497572297474897E-2</c:v>
                </c:pt>
                <c:pt idx="13">
                  <c:v>0.11400324019784633</c:v>
                </c:pt>
                <c:pt idx="14">
                  <c:v>0.12931806986077757</c:v>
                </c:pt>
                <c:pt idx="15">
                  <c:v>0.14581162530119832</c:v>
                </c:pt>
                <c:pt idx="16">
                  <c:v>0.16146106688925688</c:v>
                </c:pt>
                <c:pt idx="17">
                  <c:v>0.17513946664233251</c:v>
                </c:pt>
                <c:pt idx="18">
                  <c:v>0.18585395841873736</c:v>
                </c:pt>
                <c:pt idx="19">
                  <c:v>0.20546975587122054</c:v>
                </c:pt>
                <c:pt idx="20">
                  <c:v>0.22692084162834775</c:v>
                </c:pt>
                <c:pt idx="21">
                  <c:v>0.25114827757969521</c:v>
                </c:pt>
                <c:pt idx="22">
                  <c:v>0.2672205582264997</c:v>
                </c:pt>
                <c:pt idx="23">
                  <c:v>0.28202521980024597</c:v>
                </c:pt>
                <c:pt idx="24">
                  <c:v>0.30866508332176606</c:v>
                </c:pt>
                <c:pt idx="25">
                  <c:v>0.3419335393959006</c:v>
                </c:pt>
                <c:pt idx="26">
                  <c:v>0.37865917258524312</c:v>
                </c:pt>
                <c:pt idx="27">
                  <c:v>0.41570130706197433</c:v>
                </c:pt>
                <c:pt idx="28">
                  <c:v>0.45138573390823655</c:v>
                </c:pt>
                <c:pt idx="29">
                  <c:v>0.49557849283342353</c:v>
                </c:pt>
                <c:pt idx="30">
                  <c:v>0.54185181916435499</c:v>
                </c:pt>
                <c:pt idx="31">
                  <c:v>3.8701700956683661E-2</c:v>
                </c:pt>
                <c:pt idx="32">
                  <c:v>7.756432887581062E-2</c:v>
                </c:pt>
                <c:pt idx="33">
                  <c:v>0.10949060591118864</c:v>
                </c:pt>
                <c:pt idx="34">
                  <c:v>0.14332040214981834</c:v>
                </c:pt>
                <c:pt idx="35">
                  <c:v>0.1746255326458053</c:v>
                </c:pt>
                <c:pt idx="36">
                  <c:v>0.20611069875324028</c:v>
                </c:pt>
                <c:pt idx="37">
                  <c:v>0.24060793850091244</c:v>
                </c:pt>
                <c:pt idx="38">
                  <c:v>0.27797210772940234</c:v>
                </c:pt>
                <c:pt idx="39">
                  <c:v>0.31711706853919025</c:v>
                </c:pt>
                <c:pt idx="40">
                  <c:v>0.35975207936881615</c:v>
                </c:pt>
                <c:pt idx="41">
                  <c:v>0.40386847126358721</c:v>
                </c:pt>
                <c:pt idx="42">
                  <c:v>0.44584562915458636</c:v>
                </c:pt>
                <c:pt idx="43">
                  <c:v>0.48420123254260206</c:v>
                </c:pt>
                <c:pt idx="44">
                  <c:v>0.50328931978117719</c:v>
                </c:pt>
                <c:pt idx="45">
                  <c:v>3.4953810536664291E-2</c:v>
                </c:pt>
                <c:pt idx="46">
                  <c:v>6.1631957979924719E-2</c:v>
                </c:pt>
                <c:pt idx="47">
                  <c:v>9.6836990414415292E-2</c:v>
                </c:pt>
                <c:pt idx="48">
                  <c:v>0.13499415114487787</c:v>
                </c:pt>
                <c:pt idx="49">
                  <c:v>0.17266882507452716</c:v>
                </c:pt>
                <c:pt idx="50">
                  <c:v>0.2029335227230295</c:v>
                </c:pt>
                <c:pt idx="51">
                  <c:v>0.24496469396531345</c:v>
                </c:pt>
                <c:pt idx="52">
                  <c:v>0.28224489862271651</c:v>
                </c:pt>
                <c:pt idx="53">
                  <c:v>0.32506886521482359</c:v>
                </c:pt>
                <c:pt idx="54">
                  <c:v>0.36442444090161247</c:v>
                </c:pt>
                <c:pt idx="55">
                  <c:v>0.40581360456602655</c:v>
                </c:pt>
                <c:pt idx="56">
                  <c:v>0.44514123013329004</c:v>
                </c:pt>
                <c:pt idx="57">
                  <c:v>0.48786388163786865</c:v>
                </c:pt>
                <c:pt idx="58">
                  <c:v>0.52277727678412478</c:v>
                </c:pt>
                <c:pt idx="59">
                  <c:v>3.9581789249618728E-2</c:v>
                </c:pt>
                <c:pt idx="60">
                  <c:v>7.8562696754710226E-2</c:v>
                </c:pt>
                <c:pt idx="61">
                  <c:v>0.11805812824652309</c:v>
                </c:pt>
                <c:pt idx="62">
                  <c:v>0.15563693960928032</c:v>
                </c:pt>
                <c:pt idx="63">
                  <c:v>0.19564412864241881</c:v>
                </c:pt>
                <c:pt idx="64">
                  <c:v>0.23523462830390154</c:v>
                </c:pt>
                <c:pt idx="65">
                  <c:v>0.25584973564928198</c:v>
                </c:pt>
                <c:pt idx="66">
                  <c:v>0.28935956723212597</c:v>
                </c:pt>
                <c:pt idx="67">
                  <c:v>0.3258093215361898</c:v>
                </c:pt>
                <c:pt idx="68">
                  <c:v>0.36210101015662954</c:v>
                </c:pt>
                <c:pt idx="69">
                  <c:v>0.40137226923779701</c:v>
                </c:pt>
                <c:pt idx="70">
                  <c:v>0.44134559462531486</c:v>
                </c:pt>
                <c:pt idx="71">
                  <c:v>0.48181867940871326</c:v>
                </c:pt>
                <c:pt idx="72">
                  <c:v>0.51936235120148855</c:v>
                </c:pt>
                <c:pt idx="73">
                  <c:v>4.0346634072558868E-2</c:v>
                </c:pt>
                <c:pt idx="74">
                  <c:v>8.2925943312126979E-2</c:v>
                </c:pt>
                <c:pt idx="75">
                  <c:v>0.11797766888363979</c:v>
                </c:pt>
                <c:pt idx="76">
                  <c:v>0.15921682560087547</c:v>
                </c:pt>
                <c:pt idx="77">
                  <c:v>0.19734125555769846</c:v>
                </c:pt>
                <c:pt idx="78">
                  <c:v>0.23288044956299889</c:v>
                </c:pt>
                <c:pt idx="79">
                  <c:v>0.26921616750140331</c:v>
                </c:pt>
                <c:pt idx="80">
                  <c:v>0.30485450758826399</c:v>
                </c:pt>
                <c:pt idx="81">
                  <c:v>0.34688777779855223</c:v>
                </c:pt>
                <c:pt idx="82">
                  <c:v>0.37942822688379035</c:v>
                </c:pt>
                <c:pt idx="83">
                  <c:v>0.41218544128475554</c:v>
                </c:pt>
                <c:pt idx="84">
                  <c:v>0.44279683423699939</c:v>
                </c:pt>
                <c:pt idx="85">
                  <c:v>0.47287012627639607</c:v>
                </c:pt>
                <c:pt idx="86">
                  <c:v>0.50209673415566269</c:v>
                </c:pt>
                <c:pt idx="87">
                  <c:v>1.6760512543191334E-2</c:v>
                </c:pt>
                <c:pt idx="88">
                  <c:v>4.5489051634635756E-2</c:v>
                </c:pt>
                <c:pt idx="89">
                  <c:v>7.4682118002900089E-2</c:v>
                </c:pt>
                <c:pt idx="90">
                  <c:v>0.10327750429567127</c:v>
                </c:pt>
                <c:pt idx="91">
                  <c:v>0.12690555896615763</c:v>
                </c:pt>
                <c:pt idx="92">
                  <c:v>0.12954010214619224</c:v>
                </c:pt>
                <c:pt idx="93">
                  <c:v>0.15651023998168784</c:v>
                </c:pt>
                <c:pt idx="94">
                  <c:v>0.17380311090701289</c:v>
                </c:pt>
                <c:pt idx="95">
                  <c:v>0.18661007492006723</c:v>
                </c:pt>
                <c:pt idx="96">
                  <c:v>0.20270099998103008</c:v>
                </c:pt>
                <c:pt idx="97">
                  <c:v>0.21597154735645796</c:v>
                </c:pt>
                <c:pt idx="98">
                  <c:v>0.22732074373257019</c:v>
                </c:pt>
                <c:pt idx="99">
                  <c:v>0.23828810072915141</c:v>
                </c:pt>
                <c:pt idx="100">
                  <c:v>0.24256276148673531</c:v>
                </c:pt>
                <c:pt idx="101">
                  <c:v>0.24553865099732367</c:v>
                </c:pt>
                <c:pt idx="102">
                  <c:v>0.21166876512463623</c:v>
                </c:pt>
                <c:pt idx="103">
                  <c:v>0.21521980802927376</c:v>
                </c:pt>
                <c:pt idx="104">
                  <c:v>0.2177392107031422</c:v>
                </c:pt>
                <c:pt idx="105">
                  <c:v>0.21979590031048327</c:v>
                </c:pt>
                <c:pt idx="106">
                  <c:v>0.2214707590679334</c:v>
                </c:pt>
                <c:pt idx="107">
                  <c:v>0.22260170701033233</c:v>
                </c:pt>
                <c:pt idx="108">
                  <c:v>0.22342257960366663</c:v>
                </c:pt>
                <c:pt idx="109">
                  <c:v>0.22396639278528055</c:v>
                </c:pt>
                <c:pt idx="110">
                  <c:v>0.22428043745417572</c:v>
                </c:pt>
                <c:pt idx="111">
                  <c:v>0.22440082928503757</c:v>
                </c:pt>
                <c:pt idx="112">
                  <c:v>0.22443523500438645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8C-478B-B665-57CB29AC4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0240"/>
        <c:axId val="467288400"/>
      </c:scatterChart>
      <c:valAx>
        <c:axId val="46728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8400"/>
        <c:crosses val="autoZero"/>
        <c:crossBetween val="midCat"/>
      </c:valAx>
      <c:valAx>
        <c:axId val="4672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Output'!$M$1</c:f>
              <c:strCache>
                <c:ptCount val="1"/>
                <c:pt idx="0">
                  <c:v>Crit N Conc (kg/kg)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Output'!$L$2:$L$114</c:f>
              <c:numCache>
                <c:formatCode>General</c:formatCode>
                <c:ptCount val="113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7.0000000000000007E-2</c:v>
                </c:pt>
                <c:pt idx="28">
                  <c:v>7.0000000000000007E-2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7.0000000000000007E-2</c:v>
                </c:pt>
                <c:pt idx="32">
                  <c:v>6.8722759135134343E-2</c:v>
                </c:pt>
                <c:pt idx="33">
                  <c:v>6.6654267195844427E-2</c:v>
                </c:pt>
                <c:pt idx="34">
                  <c:v>6.4698162270156609E-2</c:v>
                </c:pt>
                <c:pt idx="35">
                  <c:v>6.2800529222957341E-2</c:v>
                </c:pt>
                <c:pt idx="36">
                  <c:v>6.1217018090549372E-2</c:v>
                </c:pt>
                <c:pt idx="37">
                  <c:v>5.9583280581063235E-2</c:v>
                </c:pt>
                <c:pt idx="38">
                  <c:v>5.812222109422157E-2</c:v>
                </c:pt>
                <c:pt idx="39">
                  <c:v>5.6789466892105421E-2</c:v>
                </c:pt>
                <c:pt idx="40">
                  <c:v>5.5574272617994726E-2</c:v>
                </c:pt>
                <c:pt idx="41">
                  <c:v>5.4444920175297742E-2</c:v>
                </c:pt>
                <c:pt idx="42">
                  <c:v>5.3287349248053922E-2</c:v>
                </c:pt>
                <c:pt idx="43">
                  <c:v>5.2299382750241166E-2</c:v>
                </c:pt>
                <c:pt idx="44">
                  <c:v>5.162250728535149E-2</c:v>
                </c:pt>
                <c:pt idx="45">
                  <c:v>5.0610061931641082E-2</c:v>
                </c:pt>
                <c:pt idx="46">
                  <c:v>4.976881768385033E-2</c:v>
                </c:pt>
                <c:pt idx="47">
                  <c:v>4.8870847484009217E-2</c:v>
                </c:pt>
                <c:pt idx="48">
                  <c:v>4.8032500696513998E-2</c:v>
                </c:pt>
                <c:pt idx="49">
                  <c:v>4.7285918168320965E-2</c:v>
                </c:pt>
                <c:pt idx="50">
                  <c:v>4.6719760494620642E-2</c:v>
                </c:pt>
                <c:pt idx="51">
                  <c:v>4.6060174754033033E-2</c:v>
                </c:pt>
                <c:pt idx="52">
                  <c:v>4.5417249548474037E-2</c:v>
                </c:pt>
                <c:pt idx="53">
                  <c:v>4.4821958100310554E-2</c:v>
                </c:pt>
                <c:pt idx="54">
                  <c:v>4.4231054122560537E-2</c:v>
                </c:pt>
                <c:pt idx="55">
                  <c:v>4.3730351411877491E-2</c:v>
                </c:pt>
                <c:pt idx="56">
                  <c:v>4.3261391529523699E-2</c:v>
                </c:pt>
                <c:pt idx="57">
                  <c:v>4.280730857727278E-2</c:v>
                </c:pt>
                <c:pt idx="58">
                  <c:v>4.2316534026218822E-2</c:v>
                </c:pt>
                <c:pt idx="59">
                  <c:v>4.1857062963514921E-2</c:v>
                </c:pt>
                <c:pt idx="60">
                  <c:v>4.1429496323581234E-2</c:v>
                </c:pt>
                <c:pt idx="61">
                  <c:v>4.1034428641903174E-2</c:v>
                </c:pt>
                <c:pt idx="62">
                  <c:v>4.0665177423397307E-2</c:v>
                </c:pt>
                <c:pt idx="63">
                  <c:v>4.0314399187435047E-2</c:v>
                </c:pt>
                <c:pt idx="64">
                  <c:v>3.9989187552355338E-2</c:v>
                </c:pt>
                <c:pt idx="65">
                  <c:v>3.9743468000054953E-2</c:v>
                </c:pt>
                <c:pt idx="66">
                  <c:v>3.9409116049861651E-2</c:v>
                </c:pt>
                <c:pt idx="67">
                  <c:v>3.909944059817435E-2</c:v>
                </c:pt>
                <c:pt idx="68">
                  <c:v>3.8786977945685017E-2</c:v>
                </c:pt>
                <c:pt idx="69">
                  <c:v>3.8505824711650309E-2</c:v>
                </c:pt>
                <c:pt idx="70">
                  <c:v>3.8229311686969421E-2</c:v>
                </c:pt>
                <c:pt idx="71">
                  <c:v>3.7953166255918394E-2</c:v>
                </c:pt>
                <c:pt idx="72">
                  <c:v>3.7680362458080562E-2</c:v>
                </c:pt>
                <c:pt idx="73">
                  <c:v>3.741494684823618E-2</c:v>
                </c:pt>
                <c:pt idx="74">
                  <c:v>3.7145857622895628E-2</c:v>
                </c:pt>
                <c:pt idx="75">
                  <c:v>3.6873940262738061E-2</c:v>
                </c:pt>
                <c:pt idx="76">
                  <c:v>3.6583856959546149E-2</c:v>
                </c:pt>
                <c:pt idx="77">
                  <c:v>3.6338669360136959E-2</c:v>
                </c:pt>
                <c:pt idx="78">
                  <c:v>3.6121321911208093E-2</c:v>
                </c:pt>
                <c:pt idx="79">
                  <c:v>3.5924443971500533E-2</c:v>
                </c:pt>
                <c:pt idx="80">
                  <c:v>3.571652026402259E-2</c:v>
                </c:pt>
                <c:pt idx="81">
                  <c:v>3.5523722073758493E-2</c:v>
                </c:pt>
                <c:pt idx="82">
                  <c:v>3.5324229028160931E-2</c:v>
                </c:pt>
                <c:pt idx="83">
                  <c:v>3.5113347697043634E-2</c:v>
                </c:pt>
                <c:pt idx="84">
                  <c:v>3.4936296030468876E-2</c:v>
                </c:pt>
                <c:pt idx="85">
                  <c:v>3.4763180075942951E-2</c:v>
                </c:pt>
                <c:pt idx="86">
                  <c:v>3.4588678986508255E-2</c:v>
                </c:pt>
                <c:pt idx="87">
                  <c:v>3.4472164202120938E-2</c:v>
                </c:pt>
                <c:pt idx="88">
                  <c:v>3.4308374510593626E-2</c:v>
                </c:pt>
                <c:pt idx="89">
                  <c:v>3.4141973433837895E-2</c:v>
                </c:pt>
                <c:pt idx="90">
                  <c:v>3.4000714024246911E-2</c:v>
                </c:pt>
                <c:pt idx="91">
                  <c:v>3.3842192346924288E-2</c:v>
                </c:pt>
                <c:pt idx="92">
                  <c:v>3.3724535832545879E-2</c:v>
                </c:pt>
                <c:pt idx="93">
                  <c:v>3.3594196785785138E-2</c:v>
                </c:pt>
                <c:pt idx="94">
                  <c:v>3.3493362310276747E-2</c:v>
                </c:pt>
                <c:pt idx="95">
                  <c:v>3.3412517217179701E-2</c:v>
                </c:pt>
                <c:pt idx="96">
                  <c:v>3.3319122306218203E-2</c:v>
                </c:pt>
                <c:pt idx="97">
                  <c:v>3.3247052985830201E-2</c:v>
                </c:pt>
                <c:pt idx="98">
                  <c:v>3.3188375539235683E-2</c:v>
                </c:pt>
                <c:pt idx="99">
                  <c:v>3.3135936470635521E-2</c:v>
                </c:pt>
                <c:pt idx="100">
                  <c:v>3.3106985467106609E-2</c:v>
                </c:pt>
                <c:pt idx="101">
                  <c:v>3.3082377724509976E-2</c:v>
                </c:pt>
                <c:pt idx="102">
                  <c:v>3.3050226417764034E-2</c:v>
                </c:pt>
                <c:pt idx="103">
                  <c:v>3.303043326948342E-2</c:v>
                </c:pt>
                <c:pt idx="104">
                  <c:v>3.3015118720685507E-2</c:v>
                </c:pt>
                <c:pt idx="105">
                  <c:v>3.3004145544948953E-2</c:v>
                </c:pt>
                <c:pt idx="106">
                  <c:v>3.2995944504463498E-2</c:v>
                </c:pt>
                <c:pt idx="107">
                  <c:v>3.2990251587338489E-2</c:v>
                </c:pt>
                <c:pt idx="108">
                  <c:v>3.2986166681908881E-2</c:v>
                </c:pt>
                <c:pt idx="109">
                  <c:v>3.2983123304619277E-2</c:v>
                </c:pt>
                <c:pt idx="110">
                  <c:v>3.2981306864106434E-2</c:v>
                </c:pt>
                <c:pt idx="111">
                  <c:v>3.2980426779929718E-2</c:v>
                </c:pt>
                <c:pt idx="112">
                  <c:v>3.2980147963335697E-2</c:v>
                </c:pt>
              </c:numCache>
            </c:numRef>
          </c:xVal>
          <c:yVal>
            <c:numRef>
              <c:f>'Crop One Output'!$M$2:$M$114</c:f>
              <c:numCache>
                <c:formatCode>General</c:formatCode>
                <c:ptCount val="113"/>
                <c:pt idx="0">
                  <c:v>4.3400000000000001E-2</c:v>
                </c:pt>
                <c:pt idx="1">
                  <c:v>4.3400000000000001E-2</c:v>
                </c:pt>
                <c:pt idx="2">
                  <c:v>4.3400000000000001E-2</c:v>
                </c:pt>
                <c:pt idx="3">
                  <c:v>4.3400000000000001E-2</c:v>
                </c:pt>
                <c:pt idx="4">
                  <c:v>4.3400000000000001E-2</c:v>
                </c:pt>
                <c:pt idx="5">
                  <c:v>4.3400000000000001E-2</c:v>
                </c:pt>
                <c:pt idx="6">
                  <c:v>4.3400000000000001E-2</c:v>
                </c:pt>
                <c:pt idx="7">
                  <c:v>4.3400000000000001E-2</c:v>
                </c:pt>
                <c:pt idx="8">
                  <c:v>4.3400000000000001E-2</c:v>
                </c:pt>
                <c:pt idx="9">
                  <c:v>4.3400000000000001E-2</c:v>
                </c:pt>
                <c:pt idx="10">
                  <c:v>4.3400000000000001E-2</c:v>
                </c:pt>
                <c:pt idx="11">
                  <c:v>4.3400000000000001E-2</c:v>
                </c:pt>
                <c:pt idx="12">
                  <c:v>4.3400000000000001E-2</c:v>
                </c:pt>
                <c:pt idx="13">
                  <c:v>4.3400000000000001E-2</c:v>
                </c:pt>
                <c:pt idx="14">
                  <c:v>4.3400000000000001E-2</c:v>
                </c:pt>
                <c:pt idx="15">
                  <c:v>4.3400000000000001E-2</c:v>
                </c:pt>
                <c:pt idx="16">
                  <c:v>4.3400000000000001E-2</c:v>
                </c:pt>
                <c:pt idx="17">
                  <c:v>4.3400000000000001E-2</c:v>
                </c:pt>
                <c:pt idx="18">
                  <c:v>4.3400000000000001E-2</c:v>
                </c:pt>
                <c:pt idx="19">
                  <c:v>4.3400000000000001E-2</c:v>
                </c:pt>
                <c:pt idx="20">
                  <c:v>4.3400000000000001E-2</c:v>
                </c:pt>
                <c:pt idx="21">
                  <c:v>4.3400000000000001E-2</c:v>
                </c:pt>
                <c:pt idx="22">
                  <c:v>4.3400000000000001E-2</c:v>
                </c:pt>
                <c:pt idx="23">
                  <c:v>4.3400000000000001E-2</c:v>
                </c:pt>
                <c:pt idx="24">
                  <c:v>4.3400000000000001E-2</c:v>
                </c:pt>
                <c:pt idx="25">
                  <c:v>4.3400000000000001E-2</c:v>
                </c:pt>
                <c:pt idx="26">
                  <c:v>4.3400000000000001E-2</c:v>
                </c:pt>
                <c:pt idx="27">
                  <c:v>4.3400000000000001E-2</c:v>
                </c:pt>
                <c:pt idx="28">
                  <c:v>4.3400000000000001E-2</c:v>
                </c:pt>
                <c:pt idx="29">
                  <c:v>4.2499692949995629E-2</c:v>
                </c:pt>
                <c:pt idx="30">
                  <c:v>4.1010216253374768E-2</c:v>
                </c:pt>
                <c:pt idx="31">
                  <c:v>3.9711462176626508E-2</c:v>
                </c:pt>
                <c:pt idx="32">
                  <c:v>3.8305835960047663E-2</c:v>
                </c:pt>
                <c:pt idx="33">
                  <c:v>3.7152865475330733E-2</c:v>
                </c:pt>
                <c:pt idx="34">
                  <c:v>3.6062539135890567E-2</c:v>
                </c:pt>
                <c:pt idx="35">
                  <c:v>3.5004804825842797E-2</c:v>
                </c:pt>
                <c:pt idx="36">
                  <c:v>3.4122161019885397E-2</c:v>
                </c:pt>
                <c:pt idx="37">
                  <c:v>3.3211521199428037E-2</c:v>
                </c:pt>
                <c:pt idx="38">
                  <c:v>3.2397131530922788E-2</c:v>
                </c:pt>
                <c:pt idx="39">
                  <c:v>3.1654258798747732E-2</c:v>
                </c:pt>
                <c:pt idx="40">
                  <c:v>3.0976913577026637E-2</c:v>
                </c:pt>
                <c:pt idx="41">
                  <c:v>3.0347416304864393E-2</c:v>
                </c:pt>
                <c:pt idx="42">
                  <c:v>2.9702190143849384E-2</c:v>
                </c:pt>
                <c:pt idx="43">
                  <c:v>2.9151500924215153E-2</c:v>
                </c:pt>
                <c:pt idx="44">
                  <c:v>2.8774212805260845E-2</c:v>
                </c:pt>
                <c:pt idx="45">
                  <c:v>2.8209879153268169E-2</c:v>
                </c:pt>
                <c:pt idx="46">
                  <c:v>2.7740972424787715E-2</c:v>
                </c:pt>
                <c:pt idx="47">
                  <c:v>2.7240446840468745E-2</c:v>
                </c:pt>
                <c:pt idx="48">
                  <c:v>2.6773155146660618E-2</c:v>
                </c:pt>
                <c:pt idx="49">
                  <c:v>2.6357012543896885E-2</c:v>
                </c:pt>
                <c:pt idx="50">
                  <c:v>2.6041438151232558E-2</c:v>
                </c:pt>
                <c:pt idx="51">
                  <c:v>2.5673787266743867E-2</c:v>
                </c:pt>
                <c:pt idx="52">
                  <c:v>2.5315422908725359E-2</c:v>
                </c:pt>
                <c:pt idx="53">
                  <c:v>2.4983609447671938E-2</c:v>
                </c:pt>
                <c:pt idx="54">
                  <c:v>2.4654241547944239E-2</c:v>
                </c:pt>
                <c:pt idx="55">
                  <c:v>2.4375151532619602E-2</c:v>
                </c:pt>
                <c:pt idx="56">
                  <c:v>2.411375486357778E-2</c:v>
                </c:pt>
                <c:pt idx="57">
                  <c:v>2.3860650545589401E-2</c:v>
                </c:pt>
                <c:pt idx="58">
                  <c:v>2.3587094453217262E-2</c:v>
                </c:pt>
                <c:pt idx="59">
                  <c:v>2.3330986820493796E-2</c:v>
                </c:pt>
                <c:pt idx="60">
                  <c:v>2.3092662606253752E-2</c:v>
                </c:pt>
                <c:pt idx="61">
                  <c:v>2.2872453202587083E-2</c:v>
                </c:pt>
                <c:pt idx="62">
                  <c:v>2.2666633809097361E-2</c:v>
                </c:pt>
                <c:pt idx="63">
                  <c:v>2.24711111942573E-2</c:v>
                </c:pt>
                <c:pt idx="64">
                  <c:v>2.228983931719011E-2</c:v>
                </c:pt>
                <c:pt idx="65">
                  <c:v>2.2152876061042513E-2</c:v>
                </c:pt>
                <c:pt idx="66">
                  <c:v>2.1966509402919224E-2</c:v>
                </c:pt>
                <c:pt idx="67">
                  <c:v>2.1793897342482865E-2</c:v>
                </c:pt>
                <c:pt idx="68">
                  <c:v>2.161973170564686E-2</c:v>
                </c:pt>
                <c:pt idx="69">
                  <c:v>2.1463017833879969E-2</c:v>
                </c:pt>
                <c:pt idx="70">
                  <c:v>2.1308890399278357E-2</c:v>
                </c:pt>
                <c:pt idx="71">
                  <c:v>2.1154967860135876E-2</c:v>
                </c:pt>
                <c:pt idx="72">
                  <c:v>2.1002907936163592E-2</c:v>
                </c:pt>
                <c:pt idx="73">
                  <c:v>2.0854966163454166E-2</c:v>
                </c:pt>
                <c:pt idx="74">
                  <c:v>2.0704976729760988E-2</c:v>
                </c:pt>
                <c:pt idx="75">
                  <c:v>2.0553410903185205E-2</c:v>
                </c:pt>
                <c:pt idx="76">
                  <c:v>2.0391719440754717E-2</c:v>
                </c:pt>
                <c:pt idx="77">
                  <c:v>2.0255052693368483E-2</c:v>
                </c:pt>
                <c:pt idx="78">
                  <c:v>2.0133903952692447E-2</c:v>
                </c:pt>
                <c:pt idx="79">
                  <c:v>2.0024164847954811E-2</c:v>
                </c:pt>
                <c:pt idx="80">
                  <c:v>1.9908268869226808E-2</c:v>
                </c:pt>
                <c:pt idx="81">
                  <c:v>1.9800803803176007E-2</c:v>
                </c:pt>
                <c:pt idx="82">
                  <c:v>1.9689607047166782E-2</c:v>
                </c:pt>
                <c:pt idx="83">
                  <c:v>1.9572062498919941E-2</c:v>
                </c:pt>
                <c:pt idx="84">
                  <c:v>1.9473374492477567E-2</c:v>
                </c:pt>
                <c:pt idx="85">
                  <c:v>1.9376880238760288E-2</c:v>
                </c:pt>
                <c:pt idx="86">
                  <c:v>1.9279613915480238E-2</c:v>
                </c:pt>
                <c:pt idx="87">
                  <c:v>1.9214668964581443E-2</c:v>
                </c:pt>
                <c:pt idx="88">
                  <c:v>1.9123373138649095E-2</c:v>
                </c:pt>
                <c:pt idx="89">
                  <c:v>1.9030621735329468E-2</c:v>
                </c:pt>
                <c:pt idx="90">
                  <c:v>1.8951884213150458E-2</c:v>
                </c:pt>
                <c:pt idx="91">
                  <c:v>1.8863524760706307E-2</c:v>
                </c:pt>
                <c:pt idx="92">
                  <c:v>1.8797943413331294E-2</c:v>
                </c:pt>
                <c:pt idx="93">
                  <c:v>1.8725292864848683E-2</c:v>
                </c:pt>
                <c:pt idx="94">
                  <c:v>1.8669088065644587E-2</c:v>
                </c:pt>
                <c:pt idx="95">
                  <c:v>1.8624025281301762E-2</c:v>
                </c:pt>
                <c:pt idx="96">
                  <c:v>1.8571967270479474E-2</c:v>
                </c:pt>
                <c:pt idx="97">
                  <c:v>1.85317960724764E-2</c:v>
                </c:pt>
                <c:pt idx="98">
                  <c:v>1.8499089460109683E-2</c:v>
                </c:pt>
                <c:pt idx="99">
                  <c:v>1.8469860098760185E-2</c:v>
                </c:pt>
                <c:pt idx="100">
                  <c:v>1.845372290627819E-2</c:v>
                </c:pt>
                <c:pt idx="101">
                  <c:v>1.8440006632905057E-2</c:v>
                </c:pt>
                <c:pt idx="102">
                  <c:v>1.8422085602119762E-2</c:v>
                </c:pt>
                <c:pt idx="103">
                  <c:v>1.8411052967506253E-2</c:v>
                </c:pt>
                <c:pt idx="104">
                  <c:v>1.8402516689256691E-2</c:v>
                </c:pt>
                <c:pt idx="105">
                  <c:v>1.8396400277823053E-2</c:v>
                </c:pt>
                <c:pt idx="106">
                  <c:v>1.8391829045301383E-2</c:v>
                </c:pt>
                <c:pt idx="107">
                  <c:v>1.8388655832347348E-2</c:v>
                </c:pt>
                <c:pt idx="108">
                  <c:v>1.8386378919731088E-2</c:v>
                </c:pt>
                <c:pt idx="109">
                  <c:v>1.8384682551414573E-2</c:v>
                </c:pt>
                <c:pt idx="110">
                  <c:v>1.8383670073551465E-2</c:v>
                </c:pt>
                <c:pt idx="111">
                  <c:v>1.8383179517576582E-2</c:v>
                </c:pt>
                <c:pt idx="112">
                  <c:v>1.8383024106140136E-2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9D-4D45-9944-577B742001EF}"/>
            </c:ext>
          </c:extLst>
        </c:ser>
        <c:ser>
          <c:idx val="1"/>
          <c:order val="1"/>
          <c:tx>
            <c:strRef>
              <c:f>'Crop One Output'!$N$1</c:f>
              <c:strCache>
                <c:ptCount val="1"/>
                <c:pt idx="0">
                  <c:v>Min N Conc (kg/kg)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Output'!$L$2:$L$114</c:f>
              <c:numCache>
                <c:formatCode>General</c:formatCode>
                <c:ptCount val="113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7.0000000000000007E-2</c:v>
                </c:pt>
                <c:pt idx="28">
                  <c:v>7.0000000000000007E-2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7.0000000000000007E-2</c:v>
                </c:pt>
                <c:pt idx="32">
                  <c:v>6.8722759135134343E-2</c:v>
                </c:pt>
                <c:pt idx="33">
                  <c:v>6.6654267195844427E-2</c:v>
                </c:pt>
                <c:pt idx="34">
                  <c:v>6.4698162270156609E-2</c:v>
                </c:pt>
                <c:pt idx="35">
                  <c:v>6.2800529222957341E-2</c:v>
                </c:pt>
                <c:pt idx="36">
                  <c:v>6.1217018090549372E-2</c:v>
                </c:pt>
                <c:pt idx="37">
                  <c:v>5.9583280581063235E-2</c:v>
                </c:pt>
                <c:pt idx="38">
                  <c:v>5.812222109422157E-2</c:v>
                </c:pt>
                <c:pt idx="39">
                  <c:v>5.6789466892105421E-2</c:v>
                </c:pt>
                <c:pt idx="40">
                  <c:v>5.5574272617994726E-2</c:v>
                </c:pt>
                <c:pt idx="41">
                  <c:v>5.4444920175297742E-2</c:v>
                </c:pt>
                <c:pt idx="42">
                  <c:v>5.3287349248053922E-2</c:v>
                </c:pt>
                <c:pt idx="43">
                  <c:v>5.2299382750241166E-2</c:v>
                </c:pt>
                <c:pt idx="44">
                  <c:v>5.162250728535149E-2</c:v>
                </c:pt>
                <c:pt idx="45">
                  <c:v>5.0610061931641082E-2</c:v>
                </c:pt>
                <c:pt idx="46">
                  <c:v>4.976881768385033E-2</c:v>
                </c:pt>
                <c:pt idx="47">
                  <c:v>4.8870847484009217E-2</c:v>
                </c:pt>
                <c:pt idx="48">
                  <c:v>4.8032500696513998E-2</c:v>
                </c:pt>
                <c:pt idx="49">
                  <c:v>4.7285918168320965E-2</c:v>
                </c:pt>
                <c:pt idx="50">
                  <c:v>4.6719760494620642E-2</c:v>
                </c:pt>
                <c:pt idx="51">
                  <c:v>4.6060174754033033E-2</c:v>
                </c:pt>
                <c:pt idx="52">
                  <c:v>4.5417249548474037E-2</c:v>
                </c:pt>
                <c:pt idx="53">
                  <c:v>4.4821958100310554E-2</c:v>
                </c:pt>
                <c:pt idx="54">
                  <c:v>4.4231054122560537E-2</c:v>
                </c:pt>
                <c:pt idx="55">
                  <c:v>4.3730351411877491E-2</c:v>
                </c:pt>
                <c:pt idx="56">
                  <c:v>4.3261391529523699E-2</c:v>
                </c:pt>
                <c:pt idx="57">
                  <c:v>4.280730857727278E-2</c:v>
                </c:pt>
                <c:pt idx="58">
                  <c:v>4.2316534026218822E-2</c:v>
                </c:pt>
                <c:pt idx="59">
                  <c:v>4.1857062963514921E-2</c:v>
                </c:pt>
                <c:pt idx="60">
                  <c:v>4.1429496323581234E-2</c:v>
                </c:pt>
                <c:pt idx="61">
                  <c:v>4.1034428641903174E-2</c:v>
                </c:pt>
                <c:pt idx="62">
                  <c:v>4.0665177423397307E-2</c:v>
                </c:pt>
                <c:pt idx="63">
                  <c:v>4.0314399187435047E-2</c:v>
                </c:pt>
                <c:pt idx="64">
                  <c:v>3.9989187552355338E-2</c:v>
                </c:pt>
                <c:pt idx="65">
                  <c:v>3.9743468000054953E-2</c:v>
                </c:pt>
                <c:pt idx="66">
                  <c:v>3.9409116049861651E-2</c:v>
                </c:pt>
                <c:pt idx="67">
                  <c:v>3.909944059817435E-2</c:v>
                </c:pt>
                <c:pt idx="68">
                  <c:v>3.8786977945685017E-2</c:v>
                </c:pt>
                <c:pt idx="69">
                  <c:v>3.8505824711650309E-2</c:v>
                </c:pt>
                <c:pt idx="70">
                  <c:v>3.8229311686969421E-2</c:v>
                </c:pt>
                <c:pt idx="71">
                  <c:v>3.7953166255918394E-2</c:v>
                </c:pt>
                <c:pt idx="72">
                  <c:v>3.7680362458080562E-2</c:v>
                </c:pt>
                <c:pt idx="73">
                  <c:v>3.741494684823618E-2</c:v>
                </c:pt>
                <c:pt idx="74">
                  <c:v>3.7145857622895628E-2</c:v>
                </c:pt>
                <c:pt idx="75">
                  <c:v>3.6873940262738061E-2</c:v>
                </c:pt>
                <c:pt idx="76">
                  <c:v>3.6583856959546149E-2</c:v>
                </c:pt>
                <c:pt idx="77">
                  <c:v>3.6338669360136959E-2</c:v>
                </c:pt>
                <c:pt idx="78">
                  <c:v>3.6121321911208093E-2</c:v>
                </c:pt>
                <c:pt idx="79">
                  <c:v>3.5924443971500533E-2</c:v>
                </c:pt>
                <c:pt idx="80">
                  <c:v>3.571652026402259E-2</c:v>
                </c:pt>
                <c:pt idx="81">
                  <c:v>3.5523722073758493E-2</c:v>
                </c:pt>
                <c:pt idx="82">
                  <c:v>3.5324229028160931E-2</c:v>
                </c:pt>
                <c:pt idx="83">
                  <c:v>3.5113347697043634E-2</c:v>
                </c:pt>
                <c:pt idx="84">
                  <c:v>3.4936296030468876E-2</c:v>
                </c:pt>
                <c:pt idx="85">
                  <c:v>3.4763180075942951E-2</c:v>
                </c:pt>
                <c:pt idx="86">
                  <c:v>3.4588678986508255E-2</c:v>
                </c:pt>
                <c:pt idx="87">
                  <c:v>3.4472164202120938E-2</c:v>
                </c:pt>
                <c:pt idx="88">
                  <c:v>3.4308374510593626E-2</c:v>
                </c:pt>
                <c:pt idx="89">
                  <c:v>3.4141973433837895E-2</c:v>
                </c:pt>
                <c:pt idx="90">
                  <c:v>3.4000714024246911E-2</c:v>
                </c:pt>
                <c:pt idx="91">
                  <c:v>3.3842192346924288E-2</c:v>
                </c:pt>
                <c:pt idx="92">
                  <c:v>3.3724535832545879E-2</c:v>
                </c:pt>
                <c:pt idx="93">
                  <c:v>3.3594196785785138E-2</c:v>
                </c:pt>
                <c:pt idx="94">
                  <c:v>3.3493362310276747E-2</c:v>
                </c:pt>
                <c:pt idx="95">
                  <c:v>3.3412517217179701E-2</c:v>
                </c:pt>
                <c:pt idx="96">
                  <c:v>3.3319122306218203E-2</c:v>
                </c:pt>
                <c:pt idx="97">
                  <c:v>3.3247052985830201E-2</c:v>
                </c:pt>
                <c:pt idx="98">
                  <c:v>3.3188375539235683E-2</c:v>
                </c:pt>
                <c:pt idx="99">
                  <c:v>3.3135936470635521E-2</c:v>
                </c:pt>
                <c:pt idx="100">
                  <c:v>3.3106985467106609E-2</c:v>
                </c:pt>
                <c:pt idx="101">
                  <c:v>3.3082377724509976E-2</c:v>
                </c:pt>
                <c:pt idx="102">
                  <c:v>3.3050226417764034E-2</c:v>
                </c:pt>
                <c:pt idx="103">
                  <c:v>3.303043326948342E-2</c:v>
                </c:pt>
                <c:pt idx="104">
                  <c:v>3.3015118720685507E-2</c:v>
                </c:pt>
                <c:pt idx="105">
                  <c:v>3.3004145544948953E-2</c:v>
                </c:pt>
                <c:pt idx="106">
                  <c:v>3.2995944504463498E-2</c:v>
                </c:pt>
                <c:pt idx="107">
                  <c:v>3.2990251587338489E-2</c:v>
                </c:pt>
                <c:pt idx="108">
                  <c:v>3.2986166681908881E-2</c:v>
                </c:pt>
                <c:pt idx="109">
                  <c:v>3.2983123304619277E-2</c:v>
                </c:pt>
                <c:pt idx="110">
                  <c:v>3.2981306864106434E-2</c:v>
                </c:pt>
                <c:pt idx="111">
                  <c:v>3.2980426779929718E-2</c:v>
                </c:pt>
                <c:pt idx="112">
                  <c:v>3.2980147963335697E-2</c:v>
                </c:pt>
              </c:numCache>
            </c:numRef>
          </c:xVal>
          <c:yVal>
            <c:numRef>
              <c:f>'Crop One Output'!$N$2:$N$114</c:f>
              <c:numCache>
                <c:formatCode>General</c:formatCode>
                <c:ptCount val="113"/>
                <c:pt idx="0">
                  <c:v>3.1500000000000007E-2</c:v>
                </c:pt>
                <c:pt idx="1">
                  <c:v>3.1500000000000007E-2</c:v>
                </c:pt>
                <c:pt idx="2">
                  <c:v>3.1500000000000007E-2</c:v>
                </c:pt>
                <c:pt idx="3">
                  <c:v>3.1500000000000007E-2</c:v>
                </c:pt>
                <c:pt idx="4">
                  <c:v>3.1500000000000007E-2</c:v>
                </c:pt>
                <c:pt idx="5">
                  <c:v>3.1500000000000007E-2</c:v>
                </c:pt>
                <c:pt idx="6">
                  <c:v>3.1500000000000007E-2</c:v>
                </c:pt>
                <c:pt idx="7">
                  <c:v>3.1500000000000007E-2</c:v>
                </c:pt>
                <c:pt idx="8">
                  <c:v>3.1500000000000007E-2</c:v>
                </c:pt>
                <c:pt idx="9">
                  <c:v>3.1500000000000007E-2</c:v>
                </c:pt>
                <c:pt idx="10">
                  <c:v>3.1500000000000007E-2</c:v>
                </c:pt>
                <c:pt idx="11">
                  <c:v>3.1500000000000007E-2</c:v>
                </c:pt>
                <c:pt idx="12">
                  <c:v>3.1500000000000007E-2</c:v>
                </c:pt>
                <c:pt idx="13">
                  <c:v>3.1500000000000007E-2</c:v>
                </c:pt>
                <c:pt idx="14">
                  <c:v>3.1500000000000007E-2</c:v>
                </c:pt>
                <c:pt idx="15">
                  <c:v>3.1500000000000007E-2</c:v>
                </c:pt>
                <c:pt idx="16">
                  <c:v>3.1500000000000007E-2</c:v>
                </c:pt>
                <c:pt idx="17">
                  <c:v>3.1500000000000007E-2</c:v>
                </c:pt>
                <c:pt idx="18">
                  <c:v>3.1500000000000007E-2</c:v>
                </c:pt>
                <c:pt idx="19">
                  <c:v>3.1500000000000007E-2</c:v>
                </c:pt>
                <c:pt idx="20">
                  <c:v>3.1500000000000007E-2</c:v>
                </c:pt>
                <c:pt idx="21">
                  <c:v>3.0886970432400136E-2</c:v>
                </c:pt>
                <c:pt idx="22">
                  <c:v>2.9583347581861544E-2</c:v>
                </c:pt>
                <c:pt idx="23">
                  <c:v>2.8290040196658938E-2</c:v>
                </c:pt>
                <c:pt idx="24">
                  <c:v>2.6955084503704291E-2</c:v>
                </c:pt>
                <c:pt idx="25">
                  <c:v>2.5724679005407574E-2</c:v>
                </c:pt>
                <c:pt idx="26">
                  <c:v>2.4666511930584573E-2</c:v>
                </c:pt>
                <c:pt idx="27">
                  <c:v>2.3710414677597675E-2</c:v>
                </c:pt>
                <c:pt idx="28">
                  <c:v>2.286647778658055E-2</c:v>
                </c:pt>
                <c:pt idx="29">
                  <c:v>2.1977020508638402E-2</c:v>
                </c:pt>
                <c:pt idx="30">
                  <c:v>2.1206797063793983E-2</c:v>
                </c:pt>
                <c:pt idx="31">
                  <c:v>2.0535198212151523E-2</c:v>
                </c:pt>
                <c:pt idx="32">
                  <c:v>1.9808334697500263E-2</c:v>
                </c:pt>
                <c:pt idx="33">
                  <c:v>1.9212122013839424E-2</c:v>
                </c:pt>
                <c:pt idx="34">
                  <c:v>1.8648303250462038E-2</c:v>
                </c:pt>
                <c:pt idx="35">
                  <c:v>1.8101338154691556E-2</c:v>
                </c:pt>
                <c:pt idx="36">
                  <c:v>1.7644914127153955E-2</c:v>
                </c:pt>
                <c:pt idx="37">
                  <c:v>1.7174013077734109E-2</c:v>
                </c:pt>
                <c:pt idx="38">
                  <c:v>1.6752883954099702E-2</c:v>
                </c:pt>
                <c:pt idx="39">
                  <c:v>1.6368736960625456E-2</c:v>
                </c:pt>
                <c:pt idx="40">
                  <c:v>1.6018474904692312E-2</c:v>
                </c:pt>
                <c:pt idx="41">
                  <c:v>1.5692955506782333E-2</c:v>
                </c:pt>
                <c:pt idx="42">
                  <c:v>1.5359302541571007E-2</c:v>
                </c:pt>
                <c:pt idx="43">
                  <c:v>1.5074535583653754E-2</c:v>
                </c:pt>
                <c:pt idx="44">
                  <c:v>1.4879436086401378E-2</c:v>
                </c:pt>
                <c:pt idx="45">
                  <c:v>1.4587613454690835E-2</c:v>
                </c:pt>
                <c:pt idx="46">
                  <c:v>1.4345137049024131E-2</c:v>
                </c:pt>
                <c:pt idx="47">
                  <c:v>1.408631021362514E-2</c:v>
                </c:pt>
                <c:pt idx="48">
                  <c:v>1.3844668958700764E-2</c:v>
                </c:pt>
                <c:pt idx="49">
                  <c:v>1.3629477415406151E-2</c:v>
                </c:pt>
                <c:pt idx="50">
                  <c:v>1.346629070938112E-2</c:v>
                </c:pt>
                <c:pt idx="51">
                  <c:v>1.327617472341544E-2</c:v>
                </c:pt>
                <c:pt idx="52">
                  <c:v>1.3090860894089562E-2</c:v>
                </c:pt>
                <c:pt idx="53">
                  <c:v>1.2919276801771688E-2</c:v>
                </c:pt>
                <c:pt idx="54">
                  <c:v>1.2748957333917661E-2</c:v>
                </c:pt>
                <c:pt idx="55">
                  <c:v>1.2604637067939213E-2</c:v>
                </c:pt>
                <c:pt idx="56">
                  <c:v>1.2469466210041934E-2</c:v>
                </c:pt>
                <c:pt idx="57">
                  <c:v>1.2338583410634412E-2</c:v>
                </c:pt>
                <c:pt idx="58">
                  <c:v>1.2197124792112178E-2</c:v>
                </c:pt>
                <c:pt idx="59">
                  <c:v>1.2064688948319028E-2</c:v>
                </c:pt>
                <c:pt idx="60">
                  <c:v>1.1941449089851789E-2</c:v>
                </c:pt>
                <c:pt idx="61">
                  <c:v>1.1827576582907525E-2</c:v>
                </c:pt>
                <c:pt idx="62">
                  <c:v>1.1721145295577494E-2</c:v>
                </c:pt>
                <c:pt idx="63">
                  <c:v>1.1620038576493703E-2</c:v>
                </c:pt>
                <c:pt idx="64">
                  <c:v>1.1526301057857218E-2</c:v>
                </c:pt>
                <c:pt idx="65">
                  <c:v>1.1455475974654215E-2</c:v>
                </c:pt>
                <c:pt idx="66">
                  <c:v>1.1359103893271863E-2</c:v>
                </c:pt>
                <c:pt idx="67">
                  <c:v>1.126984445328693E-2</c:v>
                </c:pt>
                <c:pt idx="68">
                  <c:v>1.1179781643253256E-2</c:v>
                </c:pt>
                <c:pt idx="69">
                  <c:v>1.1098743317214964E-2</c:v>
                </c:pt>
                <c:pt idx="70">
                  <c:v>1.101904246396012E-2</c:v>
                </c:pt>
                <c:pt idx="71">
                  <c:v>1.0939447564216819E-2</c:v>
                </c:pt>
                <c:pt idx="72">
                  <c:v>1.0860815841592075E-2</c:v>
                </c:pt>
                <c:pt idx="73">
                  <c:v>1.0784313656582294E-2</c:v>
                </c:pt>
                <c:pt idx="74">
                  <c:v>1.0706752605394644E-2</c:v>
                </c:pt>
                <c:pt idx="75">
                  <c:v>1.0628376385524448E-2</c:v>
                </c:pt>
                <c:pt idx="76">
                  <c:v>1.0544764097075974E-2</c:v>
                </c:pt>
                <c:pt idx="77">
                  <c:v>1.0474092341548467E-2</c:v>
                </c:pt>
                <c:pt idx="78">
                  <c:v>1.041144510403629E-2</c:v>
                </c:pt>
                <c:pt idx="79">
                  <c:v>1.0354697904515197E-2</c:v>
                </c:pt>
                <c:pt idx="80">
                  <c:v>1.0294766923263853E-2</c:v>
                </c:pt>
                <c:pt idx="81">
                  <c:v>1.0239195652117509E-2</c:v>
                </c:pt>
                <c:pt idx="82">
                  <c:v>1.0181694686400317E-2</c:v>
                </c:pt>
                <c:pt idx="83">
                  <c:v>1.0120911213198785E-2</c:v>
                </c:pt>
                <c:pt idx="84">
                  <c:v>1.0069878648231962E-2</c:v>
                </c:pt>
                <c:pt idx="85">
                  <c:v>1.0019980494958114E-2</c:v>
                </c:pt>
                <c:pt idx="86">
                  <c:v>9.9696830967147751E-3</c:v>
                </c:pt>
                <c:pt idx="87">
                  <c:v>9.9360994066040095E-3</c:v>
                </c:pt>
                <c:pt idx="88">
                  <c:v>9.8888894128464303E-3</c:v>
                </c:pt>
                <c:pt idx="89">
                  <c:v>9.8409267253192819E-3</c:v>
                </c:pt>
                <c:pt idx="90">
                  <c:v>9.8002107572824418E-3</c:v>
                </c:pt>
                <c:pt idx="91">
                  <c:v>9.7545191919155595E-3</c:v>
                </c:pt>
                <c:pt idx="92">
                  <c:v>9.7206064147587808E-3</c:v>
                </c:pt>
                <c:pt idx="93">
                  <c:v>9.683038082304125E-3</c:v>
                </c:pt>
                <c:pt idx="94">
                  <c:v>9.6539740129178899E-3</c:v>
                </c:pt>
                <c:pt idx="95">
                  <c:v>9.6306715919605469E-3</c:v>
                </c:pt>
                <c:pt idx="96">
                  <c:v>9.6037518687327496E-3</c:v>
                </c:pt>
                <c:pt idx="97">
                  <c:v>9.5829789364810063E-3</c:v>
                </c:pt>
                <c:pt idx="98">
                  <c:v>9.5660660168606897E-3</c:v>
                </c:pt>
                <c:pt idx="99">
                  <c:v>9.5509512188646645E-3</c:v>
                </c:pt>
                <c:pt idx="100">
                  <c:v>9.5426065136324182E-3</c:v>
                </c:pt>
                <c:pt idx="101">
                  <c:v>9.5355136901247722E-3</c:v>
                </c:pt>
                <c:pt idx="102">
                  <c:v>9.5262465440875566E-3</c:v>
                </c:pt>
                <c:pt idx="103">
                  <c:v>9.5205414572896198E-3</c:v>
                </c:pt>
                <c:pt idx="104">
                  <c:v>9.5161272615828709E-3</c:v>
                </c:pt>
                <c:pt idx="105">
                  <c:v>9.5129644034494133E-3</c:v>
                </c:pt>
                <c:pt idx="106">
                  <c:v>9.5106005729389976E-3</c:v>
                </c:pt>
                <c:pt idx="107">
                  <c:v>9.5089596724682295E-3</c:v>
                </c:pt>
                <c:pt idx="108">
                  <c:v>9.5077822579555469E-3</c:v>
                </c:pt>
                <c:pt idx="109">
                  <c:v>9.5069050487642699E-3</c:v>
                </c:pt>
                <c:pt idx="110">
                  <c:v>9.5063814862343405E-3</c:v>
                </c:pt>
                <c:pt idx="111">
                  <c:v>9.5061278147846821E-3</c:v>
                </c:pt>
                <c:pt idx="112">
                  <c:v>9.5060474499611049E-3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9D-4D45-9944-577B74200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22000"/>
        <c:axId val="294226800"/>
      </c:scatterChart>
      <c:valAx>
        <c:axId val="29422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226800"/>
        <c:crosses val="autoZero"/>
        <c:crossBetween val="midCat"/>
      </c:valAx>
      <c:valAx>
        <c:axId val="29422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22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N Concentration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One Output'!$L$1</c:f>
              <c:strCache>
                <c:ptCount val="1"/>
                <c:pt idx="0">
                  <c:v>Max N Conc (kg/kg)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Output'!$A$2:$A$114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Output'!$L$2:$L$114</c:f>
              <c:numCache>
                <c:formatCode>General</c:formatCode>
                <c:ptCount val="113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7.0000000000000007E-2</c:v>
                </c:pt>
                <c:pt idx="28">
                  <c:v>7.0000000000000007E-2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7.0000000000000007E-2</c:v>
                </c:pt>
                <c:pt idx="32">
                  <c:v>6.8722759135134343E-2</c:v>
                </c:pt>
                <c:pt idx="33">
                  <c:v>6.6654267195844427E-2</c:v>
                </c:pt>
                <c:pt idx="34">
                  <c:v>6.4698162270156609E-2</c:v>
                </c:pt>
                <c:pt idx="35">
                  <c:v>6.2800529222957341E-2</c:v>
                </c:pt>
                <c:pt idx="36">
                  <c:v>6.1217018090549372E-2</c:v>
                </c:pt>
                <c:pt idx="37">
                  <c:v>5.9583280581063235E-2</c:v>
                </c:pt>
                <c:pt idx="38">
                  <c:v>5.812222109422157E-2</c:v>
                </c:pt>
                <c:pt idx="39">
                  <c:v>5.6789466892105421E-2</c:v>
                </c:pt>
                <c:pt idx="40">
                  <c:v>5.5574272617994726E-2</c:v>
                </c:pt>
                <c:pt idx="41">
                  <c:v>5.4444920175297742E-2</c:v>
                </c:pt>
                <c:pt idx="42">
                  <c:v>5.3287349248053922E-2</c:v>
                </c:pt>
                <c:pt idx="43">
                  <c:v>5.2299382750241166E-2</c:v>
                </c:pt>
                <c:pt idx="44">
                  <c:v>5.162250728535149E-2</c:v>
                </c:pt>
                <c:pt idx="45">
                  <c:v>5.0610061931641082E-2</c:v>
                </c:pt>
                <c:pt idx="46">
                  <c:v>4.976881768385033E-2</c:v>
                </c:pt>
                <c:pt idx="47">
                  <c:v>4.8870847484009217E-2</c:v>
                </c:pt>
                <c:pt idx="48">
                  <c:v>4.8032500696513998E-2</c:v>
                </c:pt>
                <c:pt idx="49">
                  <c:v>4.7285918168320965E-2</c:v>
                </c:pt>
                <c:pt idx="50">
                  <c:v>4.6719760494620642E-2</c:v>
                </c:pt>
                <c:pt idx="51">
                  <c:v>4.6060174754033033E-2</c:v>
                </c:pt>
                <c:pt idx="52">
                  <c:v>4.5417249548474037E-2</c:v>
                </c:pt>
                <c:pt idx="53">
                  <c:v>4.4821958100310554E-2</c:v>
                </c:pt>
                <c:pt idx="54">
                  <c:v>4.4231054122560537E-2</c:v>
                </c:pt>
                <c:pt idx="55">
                  <c:v>4.3730351411877491E-2</c:v>
                </c:pt>
                <c:pt idx="56">
                  <c:v>4.3261391529523699E-2</c:v>
                </c:pt>
                <c:pt idx="57">
                  <c:v>4.280730857727278E-2</c:v>
                </c:pt>
                <c:pt idx="58">
                  <c:v>4.2316534026218822E-2</c:v>
                </c:pt>
                <c:pt idx="59">
                  <c:v>4.1857062963514921E-2</c:v>
                </c:pt>
                <c:pt idx="60">
                  <c:v>4.1429496323581234E-2</c:v>
                </c:pt>
                <c:pt idx="61">
                  <c:v>4.1034428641903174E-2</c:v>
                </c:pt>
                <c:pt idx="62">
                  <c:v>4.0665177423397307E-2</c:v>
                </c:pt>
                <c:pt idx="63">
                  <c:v>4.0314399187435047E-2</c:v>
                </c:pt>
                <c:pt idx="64">
                  <c:v>3.9989187552355338E-2</c:v>
                </c:pt>
                <c:pt idx="65">
                  <c:v>3.9743468000054953E-2</c:v>
                </c:pt>
                <c:pt idx="66">
                  <c:v>3.9409116049861651E-2</c:v>
                </c:pt>
                <c:pt idx="67">
                  <c:v>3.909944059817435E-2</c:v>
                </c:pt>
                <c:pt idx="68">
                  <c:v>3.8786977945685017E-2</c:v>
                </c:pt>
                <c:pt idx="69">
                  <c:v>3.8505824711650309E-2</c:v>
                </c:pt>
                <c:pt idx="70">
                  <c:v>3.8229311686969421E-2</c:v>
                </c:pt>
                <c:pt idx="71">
                  <c:v>3.7953166255918394E-2</c:v>
                </c:pt>
                <c:pt idx="72">
                  <c:v>3.7680362458080562E-2</c:v>
                </c:pt>
                <c:pt idx="73">
                  <c:v>3.741494684823618E-2</c:v>
                </c:pt>
                <c:pt idx="74">
                  <c:v>3.7145857622895628E-2</c:v>
                </c:pt>
                <c:pt idx="75">
                  <c:v>3.6873940262738061E-2</c:v>
                </c:pt>
                <c:pt idx="76">
                  <c:v>3.6583856959546149E-2</c:v>
                </c:pt>
                <c:pt idx="77">
                  <c:v>3.6338669360136959E-2</c:v>
                </c:pt>
                <c:pt idx="78">
                  <c:v>3.6121321911208093E-2</c:v>
                </c:pt>
                <c:pt idx="79">
                  <c:v>3.5924443971500533E-2</c:v>
                </c:pt>
                <c:pt idx="80">
                  <c:v>3.571652026402259E-2</c:v>
                </c:pt>
                <c:pt idx="81">
                  <c:v>3.5523722073758493E-2</c:v>
                </c:pt>
                <c:pt idx="82">
                  <c:v>3.5324229028160931E-2</c:v>
                </c:pt>
                <c:pt idx="83">
                  <c:v>3.5113347697043634E-2</c:v>
                </c:pt>
                <c:pt idx="84">
                  <c:v>3.4936296030468876E-2</c:v>
                </c:pt>
                <c:pt idx="85">
                  <c:v>3.4763180075942951E-2</c:v>
                </c:pt>
                <c:pt idx="86">
                  <c:v>3.4588678986508255E-2</c:v>
                </c:pt>
                <c:pt idx="87">
                  <c:v>3.4472164202120938E-2</c:v>
                </c:pt>
                <c:pt idx="88">
                  <c:v>3.4308374510593626E-2</c:v>
                </c:pt>
                <c:pt idx="89">
                  <c:v>3.4141973433837895E-2</c:v>
                </c:pt>
                <c:pt idx="90">
                  <c:v>3.4000714024246911E-2</c:v>
                </c:pt>
                <c:pt idx="91">
                  <c:v>3.3842192346924288E-2</c:v>
                </c:pt>
                <c:pt idx="92">
                  <c:v>3.3724535832545879E-2</c:v>
                </c:pt>
                <c:pt idx="93">
                  <c:v>3.3594196785785138E-2</c:v>
                </c:pt>
                <c:pt idx="94">
                  <c:v>3.3493362310276747E-2</c:v>
                </c:pt>
                <c:pt idx="95">
                  <c:v>3.3412517217179701E-2</c:v>
                </c:pt>
                <c:pt idx="96">
                  <c:v>3.3319122306218203E-2</c:v>
                </c:pt>
                <c:pt idx="97">
                  <c:v>3.3247052985830201E-2</c:v>
                </c:pt>
                <c:pt idx="98">
                  <c:v>3.3188375539235683E-2</c:v>
                </c:pt>
                <c:pt idx="99">
                  <c:v>3.3135936470635521E-2</c:v>
                </c:pt>
                <c:pt idx="100">
                  <c:v>3.3106985467106609E-2</c:v>
                </c:pt>
                <c:pt idx="101">
                  <c:v>3.3082377724509976E-2</c:v>
                </c:pt>
                <c:pt idx="102">
                  <c:v>3.3050226417764034E-2</c:v>
                </c:pt>
                <c:pt idx="103">
                  <c:v>3.303043326948342E-2</c:v>
                </c:pt>
                <c:pt idx="104">
                  <c:v>3.3015118720685507E-2</c:v>
                </c:pt>
                <c:pt idx="105">
                  <c:v>3.3004145544948953E-2</c:v>
                </c:pt>
                <c:pt idx="106">
                  <c:v>3.2995944504463498E-2</c:v>
                </c:pt>
                <c:pt idx="107">
                  <c:v>3.2990251587338489E-2</c:v>
                </c:pt>
                <c:pt idx="108">
                  <c:v>3.2986166681908881E-2</c:v>
                </c:pt>
                <c:pt idx="109">
                  <c:v>3.2983123304619277E-2</c:v>
                </c:pt>
                <c:pt idx="110">
                  <c:v>3.2981306864106434E-2</c:v>
                </c:pt>
                <c:pt idx="111">
                  <c:v>3.2980426779929718E-2</c:v>
                </c:pt>
                <c:pt idx="112">
                  <c:v>3.2980147963335697E-2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A-4370-A291-987C151D7D15}"/>
            </c:ext>
          </c:extLst>
        </c:ser>
        <c:ser>
          <c:idx val="1"/>
          <c:order val="1"/>
          <c:tx>
            <c:strRef>
              <c:f>'Crop One Output'!$M$1</c:f>
              <c:strCache>
                <c:ptCount val="1"/>
                <c:pt idx="0">
                  <c:v>Crit N Conc (kg/kg)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Output'!$A$2:$A$114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Output'!$M$2:$M$114</c:f>
              <c:numCache>
                <c:formatCode>General</c:formatCode>
                <c:ptCount val="113"/>
                <c:pt idx="0">
                  <c:v>4.3400000000000001E-2</c:v>
                </c:pt>
                <c:pt idx="1">
                  <c:v>4.3400000000000001E-2</c:v>
                </c:pt>
                <c:pt idx="2">
                  <c:v>4.3400000000000001E-2</c:v>
                </c:pt>
                <c:pt idx="3">
                  <c:v>4.3400000000000001E-2</c:v>
                </c:pt>
                <c:pt idx="4">
                  <c:v>4.3400000000000001E-2</c:v>
                </c:pt>
                <c:pt idx="5">
                  <c:v>4.3400000000000001E-2</c:v>
                </c:pt>
                <c:pt idx="6">
                  <c:v>4.3400000000000001E-2</c:v>
                </c:pt>
                <c:pt idx="7">
                  <c:v>4.3400000000000001E-2</c:v>
                </c:pt>
                <c:pt idx="8">
                  <c:v>4.3400000000000001E-2</c:v>
                </c:pt>
                <c:pt idx="9">
                  <c:v>4.3400000000000001E-2</c:v>
                </c:pt>
                <c:pt idx="10">
                  <c:v>4.3400000000000001E-2</c:v>
                </c:pt>
                <c:pt idx="11">
                  <c:v>4.3400000000000001E-2</c:v>
                </c:pt>
                <c:pt idx="12">
                  <c:v>4.3400000000000001E-2</c:v>
                </c:pt>
                <c:pt idx="13">
                  <c:v>4.3400000000000001E-2</c:v>
                </c:pt>
                <c:pt idx="14">
                  <c:v>4.3400000000000001E-2</c:v>
                </c:pt>
                <c:pt idx="15">
                  <c:v>4.3400000000000001E-2</c:v>
                </c:pt>
                <c:pt idx="16">
                  <c:v>4.3400000000000001E-2</c:v>
                </c:pt>
                <c:pt idx="17">
                  <c:v>4.3400000000000001E-2</c:v>
                </c:pt>
                <c:pt idx="18">
                  <c:v>4.3400000000000001E-2</c:v>
                </c:pt>
                <c:pt idx="19">
                  <c:v>4.3400000000000001E-2</c:v>
                </c:pt>
                <c:pt idx="20">
                  <c:v>4.3400000000000001E-2</c:v>
                </c:pt>
                <c:pt idx="21">
                  <c:v>4.3400000000000001E-2</c:v>
                </c:pt>
                <c:pt idx="22">
                  <c:v>4.3400000000000001E-2</c:v>
                </c:pt>
                <c:pt idx="23">
                  <c:v>4.3400000000000001E-2</c:v>
                </c:pt>
                <c:pt idx="24">
                  <c:v>4.3400000000000001E-2</c:v>
                </c:pt>
                <c:pt idx="25">
                  <c:v>4.3400000000000001E-2</c:v>
                </c:pt>
                <c:pt idx="26">
                  <c:v>4.3400000000000001E-2</c:v>
                </c:pt>
                <c:pt idx="27">
                  <c:v>4.3400000000000001E-2</c:v>
                </c:pt>
                <c:pt idx="28">
                  <c:v>4.3400000000000001E-2</c:v>
                </c:pt>
                <c:pt idx="29">
                  <c:v>4.2499692949995629E-2</c:v>
                </c:pt>
                <c:pt idx="30">
                  <c:v>4.1010216253374768E-2</c:v>
                </c:pt>
                <c:pt idx="31">
                  <c:v>3.9711462176626508E-2</c:v>
                </c:pt>
                <c:pt idx="32">
                  <c:v>3.8305835960047663E-2</c:v>
                </c:pt>
                <c:pt idx="33">
                  <c:v>3.7152865475330733E-2</c:v>
                </c:pt>
                <c:pt idx="34">
                  <c:v>3.6062539135890567E-2</c:v>
                </c:pt>
                <c:pt idx="35">
                  <c:v>3.5004804825842797E-2</c:v>
                </c:pt>
                <c:pt idx="36">
                  <c:v>3.4122161019885397E-2</c:v>
                </c:pt>
                <c:pt idx="37">
                  <c:v>3.3211521199428037E-2</c:v>
                </c:pt>
                <c:pt idx="38">
                  <c:v>3.2397131530922788E-2</c:v>
                </c:pt>
                <c:pt idx="39">
                  <c:v>3.1654258798747732E-2</c:v>
                </c:pt>
                <c:pt idx="40">
                  <c:v>3.0976913577026637E-2</c:v>
                </c:pt>
                <c:pt idx="41">
                  <c:v>3.0347416304864393E-2</c:v>
                </c:pt>
                <c:pt idx="42">
                  <c:v>2.9702190143849384E-2</c:v>
                </c:pt>
                <c:pt idx="43">
                  <c:v>2.9151500924215153E-2</c:v>
                </c:pt>
                <c:pt idx="44">
                  <c:v>2.8774212805260845E-2</c:v>
                </c:pt>
                <c:pt idx="45">
                  <c:v>2.8209879153268169E-2</c:v>
                </c:pt>
                <c:pt idx="46">
                  <c:v>2.7740972424787715E-2</c:v>
                </c:pt>
                <c:pt idx="47">
                  <c:v>2.7240446840468745E-2</c:v>
                </c:pt>
                <c:pt idx="48">
                  <c:v>2.6773155146660618E-2</c:v>
                </c:pt>
                <c:pt idx="49">
                  <c:v>2.6357012543896885E-2</c:v>
                </c:pt>
                <c:pt idx="50">
                  <c:v>2.6041438151232558E-2</c:v>
                </c:pt>
                <c:pt idx="51">
                  <c:v>2.5673787266743867E-2</c:v>
                </c:pt>
                <c:pt idx="52">
                  <c:v>2.5315422908725359E-2</c:v>
                </c:pt>
                <c:pt idx="53">
                  <c:v>2.4983609447671938E-2</c:v>
                </c:pt>
                <c:pt idx="54">
                  <c:v>2.4654241547944239E-2</c:v>
                </c:pt>
                <c:pt idx="55">
                  <c:v>2.4375151532619602E-2</c:v>
                </c:pt>
                <c:pt idx="56">
                  <c:v>2.411375486357778E-2</c:v>
                </c:pt>
                <c:pt idx="57">
                  <c:v>2.3860650545589401E-2</c:v>
                </c:pt>
                <c:pt idx="58">
                  <c:v>2.3587094453217262E-2</c:v>
                </c:pt>
                <c:pt idx="59">
                  <c:v>2.3330986820493796E-2</c:v>
                </c:pt>
                <c:pt idx="60">
                  <c:v>2.3092662606253752E-2</c:v>
                </c:pt>
                <c:pt idx="61">
                  <c:v>2.2872453202587083E-2</c:v>
                </c:pt>
                <c:pt idx="62">
                  <c:v>2.2666633809097361E-2</c:v>
                </c:pt>
                <c:pt idx="63">
                  <c:v>2.24711111942573E-2</c:v>
                </c:pt>
                <c:pt idx="64">
                  <c:v>2.228983931719011E-2</c:v>
                </c:pt>
                <c:pt idx="65">
                  <c:v>2.2152876061042513E-2</c:v>
                </c:pt>
                <c:pt idx="66">
                  <c:v>2.1966509402919224E-2</c:v>
                </c:pt>
                <c:pt idx="67">
                  <c:v>2.1793897342482865E-2</c:v>
                </c:pt>
                <c:pt idx="68">
                  <c:v>2.161973170564686E-2</c:v>
                </c:pt>
                <c:pt idx="69">
                  <c:v>2.1463017833879969E-2</c:v>
                </c:pt>
                <c:pt idx="70">
                  <c:v>2.1308890399278357E-2</c:v>
                </c:pt>
                <c:pt idx="71">
                  <c:v>2.1154967860135876E-2</c:v>
                </c:pt>
                <c:pt idx="72">
                  <c:v>2.1002907936163592E-2</c:v>
                </c:pt>
                <c:pt idx="73">
                  <c:v>2.0854966163454166E-2</c:v>
                </c:pt>
                <c:pt idx="74">
                  <c:v>2.0704976729760988E-2</c:v>
                </c:pt>
                <c:pt idx="75">
                  <c:v>2.0553410903185205E-2</c:v>
                </c:pt>
                <c:pt idx="76">
                  <c:v>2.0391719440754717E-2</c:v>
                </c:pt>
                <c:pt idx="77">
                  <c:v>2.0255052693368483E-2</c:v>
                </c:pt>
                <c:pt idx="78">
                  <c:v>2.0133903952692447E-2</c:v>
                </c:pt>
                <c:pt idx="79">
                  <c:v>2.0024164847954811E-2</c:v>
                </c:pt>
                <c:pt idx="80">
                  <c:v>1.9908268869226808E-2</c:v>
                </c:pt>
                <c:pt idx="81">
                  <c:v>1.9800803803176007E-2</c:v>
                </c:pt>
                <c:pt idx="82">
                  <c:v>1.9689607047166782E-2</c:v>
                </c:pt>
                <c:pt idx="83">
                  <c:v>1.9572062498919941E-2</c:v>
                </c:pt>
                <c:pt idx="84">
                  <c:v>1.9473374492477567E-2</c:v>
                </c:pt>
                <c:pt idx="85">
                  <c:v>1.9376880238760288E-2</c:v>
                </c:pt>
                <c:pt idx="86">
                  <c:v>1.9279613915480238E-2</c:v>
                </c:pt>
                <c:pt idx="87">
                  <c:v>1.9214668964581443E-2</c:v>
                </c:pt>
                <c:pt idx="88">
                  <c:v>1.9123373138649095E-2</c:v>
                </c:pt>
                <c:pt idx="89">
                  <c:v>1.9030621735329468E-2</c:v>
                </c:pt>
                <c:pt idx="90">
                  <c:v>1.8951884213150458E-2</c:v>
                </c:pt>
                <c:pt idx="91">
                  <c:v>1.8863524760706307E-2</c:v>
                </c:pt>
                <c:pt idx="92">
                  <c:v>1.8797943413331294E-2</c:v>
                </c:pt>
                <c:pt idx="93">
                  <c:v>1.8725292864848683E-2</c:v>
                </c:pt>
                <c:pt idx="94">
                  <c:v>1.8669088065644587E-2</c:v>
                </c:pt>
                <c:pt idx="95">
                  <c:v>1.8624025281301762E-2</c:v>
                </c:pt>
                <c:pt idx="96">
                  <c:v>1.8571967270479474E-2</c:v>
                </c:pt>
                <c:pt idx="97">
                  <c:v>1.85317960724764E-2</c:v>
                </c:pt>
                <c:pt idx="98">
                  <c:v>1.8499089460109683E-2</c:v>
                </c:pt>
                <c:pt idx="99">
                  <c:v>1.8469860098760185E-2</c:v>
                </c:pt>
                <c:pt idx="100">
                  <c:v>1.845372290627819E-2</c:v>
                </c:pt>
                <c:pt idx="101">
                  <c:v>1.8440006632905057E-2</c:v>
                </c:pt>
                <c:pt idx="102">
                  <c:v>1.8422085602119762E-2</c:v>
                </c:pt>
                <c:pt idx="103">
                  <c:v>1.8411052967506253E-2</c:v>
                </c:pt>
                <c:pt idx="104">
                  <c:v>1.8402516689256691E-2</c:v>
                </c:pt>
                <c:pt idx="105">
                  <c:v>1.8396400277823053E-2</c:v>
                </c:pt>
                <c:pt idx="106">
                  <c:v>1.8391829045301383E-2</c:v>
                </c:pt>
                <c:pt idx="107">
                  <c:v>1.8388655832347348E-2</c:v>
                </c:pt>
                <c:pt idx="108">
                  <c:v>1.8386378919731088E-2</c:v>
                </c:pt>
                <c:pt idx="109">
                  <c:v>1.8384682551414573E-2</c:v>
                </c:pt>
                <c:pt idx="110">
                  <c:v>1.8383670073551465E-2</c:v>
                </c:pt>
                <c:pt idx="111">
                  <c:v>1.8383179517576582E-2</c:v>
                </c:pt>
                <c:pt idx="112">
                  <c:v>1.8383024106140136E-2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CA-4370-A291-987C151D7D15}"/>
            </c:ext>
          </c:extLst>
        </c:ser>
        <c:ser>
          <c:idx val="2"/>
          <c:order val="2"/>
          <c:tx>
            <c:strRef>
              <c:f>'Crop One Output'!$N$1</c:f>
              <c:strCache>
                <c:ptCount val="1"/>
                <c:pt idx="0">
                  <c:v>Min N Conc (kg/kg)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Output'!$A$2:$A$114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Output'!$N$2:$N$114</c:f>
              <c:numCache>
                <c:formatCode>General</c:formatCode>
                <c:ptCount val="113"/>
                <c:pt idx="0">
                  <c:v>3.1500000000000007E-2</c:v>
                </c:pt>
                <c:pt idx="1">
                  <c:v>3.1500000000000007E-2</c:v>
                </c:pt>
                <c:pt idx="2">
                  <c:v>3.1500000000000007E-2</c:v>
                </c:pt>
                <c:pt idx="3">
                  <c:v>3.1500000000000007E-2</c:v>
                </c:pt>
                <c:pt idx="4">
                  <c:v>3.1500000000000007E-2</c:v>
                </c:pt>
                <c:pt idx="5">
                  <c:v>3.1500000000000007E-2</c:v>
                </c:pt>
                <c:pt idx="6">
                  <c:v>3.1500000000000007E-2</c:v>
                </c:pt>
                <c:pt idx="7">
                  <c:v>3.1500000000000007E-2</c:v>
                </c:pt>
                <c:pt idx="8">
                  <c:v>3.1500000000000007E-2</c:v>
                </c:pt>
                <c:pt idx="9">
                  <c:v>3.1500000000000007E-2</c:v>
                </c:pt>
                <c:pt idx="10">
                  <c:v>3.1500000000000007E-2</c:v>
                </c:pt>
                <c:pt idx="11">
                  <c:v>3.1500000000000007E-2</c:v>
                </c:pt>
                <c:pt idx="12">
                  <c:v>3.1500000000000007E-2</c:v>
                </c:pt>
                <c:pt idx="13">
                  <c:v>3.1500000000000007E-2</c:v>
                </c:pt>
                <c:pt idx="14">
                  <c:v>3.1500000000000007E-2</c:v>
                </c:pt>
                <c:pt idx="15">
                  <c:v>3.1500000000000007E-2</c:v>
                </c:pt>
                <c:pt idx="16">
                  <c:v>3.1500000000000007E-2</c:v>
                </c:pt>
                <c:pt idx="17">
                  <c:v>3.1500000000000007E-2</c:v>
                </c:pt>
                <c:pt idx="18">
                  <c:v>3.1500000000000007E-2</c:v>
                </c:pt>
                <c:pt idx="19">
                  <c:v>3.1500000000000007E-2</c:v>
                </c:pt>
                <c:pt idx="20">
                  <c:v>3.1500000000000007E-2</c:v>
                </c:pt>
                <c:pt idx="21">
                  <c:v>3.0886970432400136E-2</c:v>
                </c:pt>
                <c:pt idx="22">
                  <c:v>2.9583347581861544E-2</c:v>
                </c:pt>
                <c:pt idx="23">
                  <c:v>2.8290040196658938E-2</c:v>
                </c:pt>
                <c:pt idx="24">
                  <c:v>2.6955084503704291E-2</c:v>
                </c:pt>
                <c:pt idx="25">
                  <c:v>2.5724679005407574E-2</c:v>
                </c:pt>
                <c:pt idx="26">
                  <c:v>2.4666511930584573E-2</c:v>
                </c:pt>
                <c:pt idx="27">
                  <c:v>2.3710414677597675E-2</c:v>
                </c:pt>
                <c:pt idx="28">
                  <c:v>2.286647778658055E-2</c:v>
                </c:pt>
                <c:pt idx="29">
                  <c:v>2.1977020508638402E-2</c:v>
                </c:pt>
                <c:pt idx="30">
                  <c:v>2.1206797063793983E-2</c:v>
                </c:pt>
                <c:pt idx="31">
                  <c:v>2.0535198212151523E-2</c:v>
                </c:pt>
                <c:pt idx="32">
                  <c:v>1.9808334697500263E-2</c:v>
                </c:pt>
                <c:pt idx="33">
                  <c:v>1.9212122013839424E-2</c:v>
                </c:pt>
                <c:pt idx="34">
                  <c:v>1.8648303250462038E-2</c:v>
                </c:pt>
                <c:pt idx="35">
                  <c:v>1.8101338154691556E-2</c:v>
                </c:pt>
                <c:pt idx="36">
                  <c:v>1.7644914127153955E-2</c:v>
                </c:pt>
                <c:pt idx="37">
                  <c:v>1.7174013077734109E-2</c:v>
                </c:pt>
                <c:pt idx="38">
                  <c:v>1.6752883954099702E-2</c:v>
                </c:pt>
                <c:pt idx="39">
                  <c:v>1.6368736960625456E-2</c:v>
                </c:pt>
                <c:pt idx="40">
                  <c:v>1.6018474904692312E-2</c:v>
                </c:pt>
                <c:pt idx="41">
                  <c:v>1.5692955506782333E-2</c:v>
                </c:pt>
                <c:pt idx="42">
                  <c:v>1.5359302541571007E-2</c:v>
                </c:pt>
                <c:pt idx="43">
                  <c:v>1.5074535583653754E-2</c:v>
                </c:pt>
                <c:pt idx="44">
                  <c:v>1.4879436086401378E-2</c:v>
                </c:pt>
                <c:pt idx="45">
                  <c:v>1.4587613454690835E-2</c:v>
                </c:pt>
                <c:pt idx="46">
                  <c:v>1.4345137049024131E-2</c:v>
                </c:pt>
                <c:pt idx="47">
                  <c:v>1.408631021362514E-2</c:v>
                </c:pt>
                <c:pt idx="48">
                  <c:v>1.3844668958700764E-2</c:v>
                </c:pt>
                <c:pt idx="49">
                  <c:v>1.3629477415406151E-2</c:v>
                </c:pt>
                <c:pt idx="50">
                  <c:v>1.346629070938112E-2</c:v>
                </c:pt>
                <c:pt idx="51">
                  <c:v>1.327617472341544E-2</c:v>
                </c:pt>
                <c:pt idx="52">
                  <c:v>1.3090860894089562E-2</c:v>
                </c:pt>
                <c:pt idx="53">
                  <c:v>1.2919276801771688E-2</c:v>
                </c:pt>
                <c:pt idx="54">
                  <c:v>1.2748957333917661E-2</c:v>
                </c:pt>
                <c:pt idx="55">
                  <c:v>1.2604637067939213E-2</c:v>
                </c:pt>
                <c:pt idx="56">
                  <c:v>1.2469466210041934E-2</c:v>
                </c:pt>
                <c:pt idx="57">
                  <c:v>1.2338583410634412E-2</c:v>
                </c:pt>
                <c:pt idx="58">
                  <c:v>1.2197124792112178E-2</c:v>
                </c:pt>
                <c:pt idx="59">
                  <c:v>1.2064688948319028E-2</c:v>
                </c:pt>
                <c:pt idx="60">
                  <c:v>1.1941449089851789E-2</c:v>
                </c:pt>
                <c:pt idx="61">
                  <c:v>1.1827576582907525E-2</c:v>
                </c:pt>
                <c:pt idx="62">
                  <c:v>1.1721145295577494E-2</c:v>
                </c:pt>
                <c:pt idx="63">
                  <c:v>1.1620038576493703E-2</c:v>
                </c:pt>
                <c:pt idx="64">
                  <c:v>1.1526301057857218E-2</c:v>
                </c:pt>
                <c:pt idx="65">
                  <c:v>1.1455475974654215E-2</c:v>
                </c:pt>
                <c:pt idx="66">
                  <c:v>1.1359103893271863E-2</c:v>
                </c:pt>
                <c:pt idx="67">
                  <c:v>1.126984445328693E-2</c:v>
                </c:pt>
                <c:pt idx="68">
                  <c:v>1.1179781643253256E-2</c:v>
                </c:pt>
                <c:pt idx="69">
                  <c:v>1.1098743317214964E-2</c:v>
                </c:pt>
                <c:pt idx="70">
                  <c:v>1.101904246396012E-2</c:v>
                </c:pt>
                <c:pt idx="71">
                  <c:v>1.0939447564216819E-2</c:v>
                </c:pt>
                <c:pt idx="72">
                  <c:v>1.0860815841592075E-2</c:v>
                </c:pt>
                <c:pt idx="73">
                  <c:v>1.0784313656582294E-2</c:v>
                </c:pt>
                <c:pt idx="74">
                  <c:v>1.0706752605394644E-2</c:v>
                </c:pt>
                <c:pt idx="75">
                  <c:v>1.0628376385524448E-2</c:v>
                </c:pt>
                <c:pt idx="76">
                  <c:v>1.0544764097075974E-2</c:v>
                </c:pt>
                <c:pt idx="77">
                  <c:v>1.0474092341548467E-2</c:v>
                </c:pt>
                <c:pt idx="78">
                  <c:v>1.041144510403629E-2</c:v>
                </c:pt>
                <c:pt idx="79">
                  <c:v>1.0354697904515197E-2</c:v>
                </c:pt>
                <c:pt idx="80">
                  <c:v>1.0294766923263853E-2</c:v>
                </c:pt>
                <c:pt idx="81">
                  <c:v>1.0239195652117509E-2</c:v>
                </c:pt>
                <c:pt idx="82">
                  <c:v>1.0181694686400317E-2</c:v>
                </c:pt>
                <c:pt idx="83">
                  <c:v>1.0120911213198785E-2</c:v>
                </c:pt>
                <c:pt idx="84">
                  <c:v>1.0069878648231962E-2</c:v>
                </c:pt>
                <c:pt idx="85">
                  <c:v>1.0019980494958114E-2</c:v>
                </c:pt>
                <c:pt idx="86">
                  <c:v>9.9696830967147751E-3</c:v>
                </c:pt>
                <c:pt idx="87">
                  <c:v>9.9360994066040095E-3</c:v>
                </c:pt>
                <c:pt idx="88">
                  <c:v>9.8888894128464303E-3</c:v>
                </c:pt>
                <c:pt idx="89">
                  <c:v>9.8409267253192819E-3</c:v>
                </c:pt>
                <c:pt idx="90">
                  <c:v>9.8002107572824418E-3</c:v>
                </c:pt>
                <c:pt idx="91">
                  <c:v>9.7545191919155595E-3</c:v>
                </c:pt>
                <c:pt idx="92">
                  <c:v>9.7206064147587808E-3</c:v>
                </c:pt>
                <c:pt idx="93">
                  <c:v>9.683038082304125E-3</c:v>
                </c:pt>
                <c:pt idx="94">
                  <c:v>9.6539740129178899E-3</c:v>
                </c:pt>
                <c:pt idx="95">
                  <c:v>9.6306715919605469E-3</c:v>
                </c:pt>
                <c:pt idx="96">
                  <c:v>9.6037518687327496E-3</c:v>
                </c:pt>
                <c:pt idx="97">
                  <c:v>9.5829789364810063E-3</c:v>
                </c:pt>
                <c:pt idx="98">
                  <c:v>9.5660660168606897E-3</c:v>
                </c:pt>
                <c:pt idx="99">
                  <c:v>9.5509512188646645E-3</c:v>
                </c:pt>
                <c:pt idx="100">
                  <c:v>9.5426065136324182E-3</c:v>
                </c:pt>
                <c:pt idx="101">
                  <c:v>9.5355136901247722E-3</c:v>
                </c:pt>
                <c:pt idx="102">
                  <c:v>9.5262465440875566E-3</c:v>
                </c:pt>
                <c:pt idx="103">
                  <c:v>9.5205414572896198E-3</c:v>
                </c:pt>
                <c:pt idx="104">
                  <c:v>9.5161272615828709E-3</c:v>
                </c:pt>
                <c:pt idx="105">
                  <c:v>9.5129644034494133E-3</c:v>
                </c:pt>
                <c:pt idx="106">
                  <c:v>9.5106005729389976E-3</c:v>
                </c:pt>
                <c:pt idx="107">
                  <c:v>9.5089596724682295E-3</c:v>
                </c:pt>
                <c:pt idx="108">
                  <c:v>9.5077822579555469E-3</c:v>
                </c:pt>
                <c:pt idx="109">
                  <c:v>9.5069050487642699E-3</c:v>
                </c:pt>
                <c:pt idx="110">
                  <c:v>9.5063814862343405E-3</c:v>
                </c:pt>
                <c:pt idx="111">
                  <c:v>9.5061278147846821E-3</c:v>
                </c:pt>
                <c:pt idx="112">
                  <c:v>9.5060474499611049E-3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CA-4370-A291-987C151D7D15}"/>
            </c:ext>
          </c:extLst>
        </c:ser>
        <c:ser>
          <c:idx val="3"/>
          <c:order val="3"/>
          <c:tx>
            <c:strRef>
              <c:f>'Crop One Output'!$O$1</c:f>
              <c:strCache>
                <c:ptCount val="1"/>
                <c:pt idx="0">
                  <c:v>Crop N Conc (kg/kg)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One Output'!$A$2:$A$114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Output'!$O$2:$O$114</c:f>
              <c:numCache>
                <c:formatCode>General</c:formatCode>
                <c:ptCount val="113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6.9994822205449059E-2</c:v>
                </c:pt>
                <c:pt idx="28">
                  <c:v>6.9866139375154609E-2</c:v>
                </c:pt>
                <c:pt idx="29">
                  <c:v>6.9912700840096806E-2</c:v>
                </c:pt>
                <c:pt idx="30">
                  <c:v>6.9954921676837187E-2</c:v>
                </c:pt>
                <c:pt idx="31">
                  <c:v>6.8603731826676714E-2</c:v>
                </c:pt>
                <c:pt idx="32">
                  <c:v>6.700805929749018E-2</c:v>
                </c:pt>
                <c:pt idx="33">
                  <c:v>6.5278875152748342E-2</c:v>
                </c:pt>
                <c:pt idx="34">
                  <c:v>6.3448007882802374E-2</c:v>
                </c:pt>
                <c:pt idx="35">
                  <c:v>6.1503615577854727E-2</c:v>
                </c:pt>
                <c:pt idx="36">
                  <c:v>6.0013293280850546E-2</c:v>
                </c:pt>
                <c:pt idx="37">
                  <c:v>5.8331795485489321E-2</c:v>
                </c:pt>
                <c:pt idx="38">
                  <c:v>5.6918433774978933E-2</c:v>
                </c:pt>
                <c:pt idx="39">
                  <c:v>5.5637988151788567E-2</c:v>
                </c:pt>
                <c:pt idx="40">
                  <c:v>5.4500851068286456E-2</c:v>
                </c:pt>
                <c:pt idx="41">
                  <c:v>5.3421437549207508E-2</c:v>
                </c:pt>
                <c:pt idx="42">
                  <c:v>5.2160820776181643E-2</c:v>
                </c:pt>
                <c:pt idx="43">
                  <c:v>5.1153198536960404E-2</c:v>
                </c:pt>
                <c:pt idx="44">
                  <c:v>5.0499746524493197E-2</c:v>
                </c:pt>
                <c:pt idx="45">
                  <c:v>4.9069644689770986E-2</c:v>
                </c:pt>
                <c:pt idx="46">
                  <c:v>4.8044040141174332E-2</c:v>
                </c:pt>
                <c:pt idx="47">
                  <c:v>4.6918892557508932E-2</c:v>
                </c:pt>
                <c:pt idx="48">
                  <c:v>4.5908631885308901E-2</c:v>
                </c:pt>
                <c:pt idx="49">
                  <c:v>4.5035415853512756E-2</c:v>
                </c:pt>
                <c:pt idx="50">
                  <c:v>4.4449903680766206E-2</c:v>
                </c:pt>
                <c:pt idx="51">
                  <c:v>4.361399619914582E-2</c:v>
                </c:pt>
                <c:pt idx="52">
                  <c:v>4.2729097522706101E-2</c:v>
                </c:pt>
                <c:pt idx="53">
                  <c:v>4.191220194171167E-2</c:v>
                </c:pt>
                <c:pt idx="54">
                  <c:v>4.1032419020481735E-2</c:v>
                </c:pt>
                <c:pt idx="55">
                  <c:v>4.0312698694672348E-2</c:v>
                </c:pt>
                <c:pt idx="56">
                  <c:v>3.9594807488536353E-2</c:v>
                </c:pt>
                <c:pt idx="57">
                  <c:v>3.8863293557194034E-2</c:v>
                </c:pt>
                <c:pt idx="58">
                  <c:v>3.7965899453893448E-2</c:v>
                </c:pt>
                <c:pt idx="59">
                  <c:v>3.743789581859415E-2</c:v>
                </c:pt>
                <c:pt idx="60">
                  <c:v>3.677442573301893E-2</c:v>
                </c:pt>
                <c:pt idx="61">
                  <c:v>3.606366221562865E-2</c:v>
                </c:pt>
                <c:pt idx="62">
                  <c:v>3.5336868441999007E-2</c:v>
                </c:pt>
                <c:pt idx="63">
                  <c:v>3.4629256968232269E-2</c:v>
                </c:pt>
                <c:pt idx="64">
                  <c:v>3.3973936585853064E-2</c:v>
                </c:pt>
                <c:pt idx="65">
                  <c:v>3.34608204845942E-2</c:v>
                </c:pt>
                <c:pt idx="66">
                  <c:v>3.2787491515105217E-2</c:v>
                </c:pt>
                <c:pt idx="67">
                  <c:v>3.2179061898418029E-2</c:v>
                </c:pt>
                <c:pt idx="68">
                  <c:v>3.1571552873233676E-2</c:v>
                </c:pt>
                <c:pt idx="69">
                  <c:v>3.1046612041516444E-2</c:v>
                </c:pt>
                <c:pt idx="70">
                  <c:v>3.0539890065081499E-2</c:v>
                </c:pt>
                <c:pt idx="71">
                  <c:v>3.0041884953441941E-2</c:v>
                </c:pt>
                <c:pt idx="72">
                  <c:v>2.9552056921169592E-2</c:v>
                </c:pt>
                <c:pt idx="73">
                  <c:v>2.9144333820683026E-2</c:v>
                </c:pt>
                <c:pt idx="74">
                  <c:v>2.8647937792901344E-2</c:v>
                </c:pt>
                <c:pt idx="75">
                  <c:v>2.8137264441432028E-2</c:v>
                </c:pt>
                <c:pt idx="76">
                  <c:v>2.7604645676089001E-2</c:v>
                </c:pt>
                <c:pt idx="77">
                  <c:v>2.7164301065326708E-2</c:v>
                </c:pt>
                <c:pt idx="78">
                  <c:v>2.6780371191823967E-2</c:v>
                </c:pt>
                <c:pt idx="79">
                  <c:v>2.6442039588632334E-2</c:v>
                </c:pt>
                <c:pt idx="80">
                  <c:v>2.6084041141501771E-2</c:v>
                </c:pt>
                <c:pt idx="81">
                  <c:v>2.5768823163464717E-2</c:v>
                </c:pt>
                <c:pt idx="82">
                  <c:v>2.542980478499951E-2</c:v>
                </c:pt>
                <c:pt idx="83">
                  <c:v>2.5072675672556031E-2</c:v>
                </c:pt>
                <c:pt idx="84">
                  <c:v>2.4781233216098514E-2</c:v>
                </c:pt>
                <c:pt idx="85">
                  <c:v>2.4499662257039461E-2</c:v>
                </c:pt>
                <c:pt idx="86">
                  <c:v>2.4217446559689704E-2</c:v>
                </c:pt>
                <c:pt idx="87">
                  <c:v>2.4032352994985604E-2</c:v>
                </c:pt>
                <c:pt idx="88">
                  <c:v>2.3755775343809453E-2</c:v>
                </c:pt>
                <c:pt idx="89">
                  <c:v>2.3477087160009343E-2</c:v>
                </c:pt>
                <c:pt idx="90">
                  <c:v>2.3246456111142823E-2</c:v>
                </c:pt>
                <c:pt idx="91">
                  <c:v>2.2980331561034888E-2</c:v>
                </c:pt>
                <c:pt idx="92">
                  <c:v>2.2785794265876139E-2</c:v>
                </c:pt>
                <c:pt idx="93">
                  <c:v>2.2577984876942354E-2</c:v>
                </c:pt>
                <c:pt idx="94">
                  <c:v>2.241423209158416E-2</c:v>
                </c:pt>
                <c:pt idx="95">
                  <c:v>2.2282403067690006E-2</c:v>
                </c:pt>
                <c:pt idx="96">
                  <c:v>2.2132247143321539E-2</c:v>
                </c:pt>
                <c:pt idx="97">
                  <c:v>2.201785270863767E-2</c:v>
                </c:pt>
                <c:pt idx="98">
                  <c:v>2.1925683793196364E-2</c:v>
                </c:pt>
                <c:pt idx="99">
                  <c:v>2.1844533984047034E-2</c:v>
                </c:pt>
                <c:pt idx="100">
                  <c:v>2.1797939258867242E-2</c:v>
                </c:pt>
                <c:pt idx="101">
                  <c:v>2.1757672966195272E-2</c:v>
                </c:pt>
                <c:pt idx="102">
                  <c:v>2.170580901867147E-2</c:v>
                </c:pt>
                <c:pt idx="103">
                  <c:v>2.1674767287559411E-2</c:v>
                </c:pt>
                <c:pt idx="104">
                  <c:v>2.1650530677267094E-2</c:v>
                </c:pt>
                <c:pt idx="105">
                  <c:v>2.163347703462842E-2</c:v>
                </c:pt>
                <c:pt idx="106">
                  <c:v>2.1620906442396542E-2</c:v>
                </c:pt>
                <c:pt idx="107">
                  <c:v>2.1612157227690953E-2</c:v>
                </c:pt>
                <c:pt idx="108">
                  <c:v>2.1605899093181054E-2</c:v>
                </c:pt>
                <c:pt idx="109">
                  <c:v>2.1601163876546439E-2</c:v>
                </c:pt>
                <c:pt idx="110">
                  <c:v>2.1598328347654527E-2</c:v>
                </c:pt>
                <c:pt idx="111">
                  <c:v>2.1596918020325963E-2</c:v>
                </c:pt>
                <c:pt idx="112">
                  <c:v>2.1596467282550668E-2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CA-4370-A291-987C151D7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00672"/>
        <c:axId val="61101632"/>
      </c:scatterChart>
      <c:valAx>
        <c:axId val="6110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1632"/>
        <c:crosses val="autoZero"/>
        <c:crossBetween val="midCat"/>
      </c:valAx>
      <c:valAx>
        <c:axId val="6110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0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'Crop One Soil Output'!$V$152:$BI$152</c:f>
              <c:numCache>
                <c:formatCode>General</c:formatCode>
                <c:ptCount val="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3-4BA3-9938-A5E1B129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8366399"/>
        <c:axId val="1028359679"/>
      </c:lineChart>
      <c:catAx>
        <c:axId val="1028366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359679"/>
        <c:crosses val="autoZero"/>
        <c:auto val="1"/>
        <c:lblAlgn val="ctr"/>
        <c:lblOffset val="100"/>
        <c:noMultiLvlLbl val="0"/>
      </c:catAx>
      <c:valAx>
        <c:axId val="102835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36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WC Top Layer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Soil Output'!$A$3:$A$115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Soil Output'!$C$3:$C$115</c:f>
              <c:numCache>
                <c:formatCode>General</c:formatCode>
                <c:ptCount val="113"/>
                <c:pt idx="0">
                  <c:v>5.012793857153932E-2</c:v>
                </c:pt>
                <c:pt idx="1">
                  <c:v>4.6415030504667179E-2</c:v>
                </c:pt>
                <c:pt idx="2">
                  <c:v>4.3770119632563192E-2</c:v>
                </c:pt>
                <c:pt idx="3">
                  <c:v>4.2273043880140151E-2</c:v>
                </c:pt>
                <c:pt idx="4">
                  <c:v>4.0205411028198142E-2</c:v>
                </c:pt>
                <c:pt idx="5">
                  <c:v>3.9147368143472625E-2</c:v>
                </c:pt>
                <c:pt idx="6">
                  <c:v>0.13500916349571232</c:v>
                </c:pt>
                <c:pt idx="7">
                  <c:v>8.9150261689183205E-2</c:v>
                </c:pt>
                <c:pt idx="8">
                  <c:v>4.4098639361438888E-2</c:v>
                </c:pt>
                <c:pt idx="9">
                  <c:v>7.3094443990406099E-2</c:v>
                </c:pt>
                <c:pt idx="10">
                  <c:v>8.3306786190717602E-2</c:v>
                </c:pt>
                <c:pt idx="11">
                  <c:v>4.5518060124853411E-2</c:v>
                </c:pt>
                <c:pt idx="12">
                  <c:v>6.4816530663699537E-2</c:v>
                </c:pt>
                <c:pt idx="13">
                  <c:v>4.7729685607152815E-2</c:v>
                </c:pt>
                <c:pt idx="14">
                  <c:v>4.3495934963333364E-2</c:v>
                </c:pt>
                <c:pt idx="15">
                  <c:v>4.0980103760550078E-2</c:v>
                </c:pt>
                <c:pt idx="16">
                  <c:v>3.9431453160095942E-2</c:v>
                </c:pt>
                <c:pt idx="17">
                  <c:v>3.8410404277069946E-2</c:v>
                </c:pt>
                <c:pt idx="18">
                  <c:v>3.7746824468612272E-2</c:v>
                </c:pt>
                <c:pt idx="19">
                  <c:v>3.69394167108298E-2</c:v>
                </c:pt>
                <c:pt idx="20">
                  <c:v>3.6278269728480049E-2</c:v>
                </c:pt>
                <c:pt idx="21">
                  <c:v>3.5708504628419242E-2</c:v>
                </c:pt>
                <c:pt idx="22">
                  <c:v>3.5367957293724044E-2</c:v>
                </c:pt>
                <c:pt idx="23">
                  <c:v>3.5119976197546553E-2</c:v>
                </c:pt>
                <c:pt idx="24">
                  <c:v>3.7346903076747283E-2</c:v>
                </c:pt>
                <c:pt idx="25">
                  <c:v>3.6813778242595345E-2</c:v>
                </c:pt>
                <c:pt idx="26">
                  <c:v>3.6427873733688637E-2</c:v>
                </c:pt>
                <c:pt idx="27">
                  <c:v>3.6125741774987355E-2</c:v>
                </c:pt>
                <c:pt idx="28">
                  <c:v>3.591889165138986E-2</c:v>
                </c:pt>
                <c:pt idx="29">
                  <c:v>3.568463075365385E-2</c:v>
                </c:pt>
                <c:pt idx="30">
                  <c:v>0.21431242743356874</c:v>
                </c:pt>
                <c:pt idx="31">
                  <c:v>0.1955782981070873</c:v>
                </c:pt>
                <c:pt idx="32">
                  <c:v>0.1783417826529427</c:v>
                </c:pt>
                <c:pt idx="33">
                  <c:v>0.16755732280533797</c:v>
                </c:pt>
                <c:pt idx="34">
                  <c:v>0.18932376651564428</c:v>
                </c:pt>
                <c:pt idx="35">
                  <c:v>0.18158490818828357</c:v>
                </c:pt>
                <c:pt idx="36">
                  <c:v>0.1739367213970687</c:v>
                </c:pt>
                <c:pt idx="37">
                  <c:v>0.16707777801610479</c:v>
                </c:pt>
                <c:pt idx="38">
                  <c:v>0.16021885305267494</c:v>
                </c:pt>
                <c:pt idx="39">
                  <c:v>0.154122987512534</c:v>
                </c:pt>
                <c:pt idx="40">
                  <c:v>0.1483226441024362</c:v>
                </c:pt>
                <c:pt idx="41">
                  <c:v>0.14175389487359943</c:v>
                </c:pt>
                <c:pt idx="42">
                  <c:v>0.13603653186066927</c:v>
                </c:pt>
                <c:pt idx="43">
                  <c:v>0.13198222006026808</c:v>
                </c:pt>
                <c:pt idx="44">
                  <c:v>0.21431242743356874</c:v>
                </c:pt>
                <c:pt idx="45">
                  <c:v>0.21431242743356874</c:v>
                </c:pt>
                <c:pt idx="46">
                  <c:v>0.21233684878601139</c:v>
                </c:pt>
                <c:pt idx="47">
                  <c:v>0.21244073035359709</c:v>
                </c:pt>
                <c:pt idx="48">
                  <c:v>0.20983942078950721</c:v>
                </c:pt>
                <c:pt idx="49">
                  <c:v>0.20726636402877119</c:v>
                </c:pt>
                <c:pt idx="50">
                  <c:v>0.20519255871800515</c:v>
                </c:pt>
                <c:pt idx="51">
                  <c:v>0.20231491933953022</c:v>
                </c:pt>
                <c:pt idx="52">
                  <c:v>0.19976591072367303</c:v>
                </c:pt>
                <c:pt idx="53">
                  <c:v>0.19644646731681456</c:v>
                </c:pt>
                <c:pt idx="54">
                  <c:v>0.19373499736700492</c:v>
                </c:pt>
                <c:pt idx="55">
                  <c:v>0.19086985383715288</c:v>
                </c:pt>
                <c:pt idx="56">
                  <c:v>0.18812363274185401</c:v>
                </c:pt>
                <c:pt idx="57">
                  <c:v>0.18504374128618481</c:v>
                </c:pt>
                <c:pt idx="58">
                  <c:v>0.21431242743356874</c:v>
                </c:pt>
                <c:pt idx="59">
                  <c:v>0.21163164605319304</c:v>
                </c:pt>
                <c:pt idx="60">
                  <c:v>0.2089898723272223</c:v>
                </c:pt>
                <c:pt idx="61">
                  <c:v>0.20573031219415355</c:v>
                </c:pt>
                <c:pt idx="62">
                  <c:v>0.20317835890547403</c:v>
                </c:pt>
                <c:pt idx="63">
                  <c:v>0.2004574501006875</c:v>
                </c:pt>
                <c:pt idx="64">
                  <c:v>0.19775961553253837</c:v>
                </c:pt>
                <c:pt idx="65">
                  <c:v>0.21431242743356874</c:v>
                </c:pt>
                <c:pt idx="66">
                  <c:v>0.21431242743356874</c:v>
                </c:pt>
                <c:pt idx="67">
                  <c:v>0.21180700970643559</c:v>
                </c:pt>
                <c:pt idx="68">
                  <c:v>0.20930429023153754</c:v>
                </c:pt>
                <c:pt idx="69">
                  <c:v>0.20658502230922282</c:v>
                </c:pt>
                <c:pt idx="70">
                  <c:v>0.20379854200805822</c:v>
                </c:pt>
                <c:pt idx="71">
                  <c:v>0.20095220974013084</c:v>
                </c:pt>
                <c:pt idx="72">
                  <c:v>0.21431242743356874</c:v>
                </c:pt>
                <c:pt idx="73">
                  <c:v>0.21157964036094892</c:v>
                </c:pt>
                <c:pt idx="74">
                  <c:v>0.20741999200986427</c:v>
                </c:pt>
                <c:pt idx="75">
                  <c:v>0.2050426986453566</c:v>
                </c:pt>
                <c:pt idx="76">
                  <c:v>0.20094930096172148</c:v>
                </c:pt>
                <c:pt idx="77">
                  <c:v>0.19809372611458939</c:v>
                </c:pt>
                <c:pt idx="78">
                  <c:v>0.19567111037641147</c:v>
                </c:pt>
                <c:pt idx="79">
                  <c:v>0.1931883094255035</c:v>
                </c:pt>
                <c:pt idx="80">
                  <c:v>0.19074514652555077</c:v>
                </c:pt>
                <c:pt idx="81">
                  <c:v>0.18655027155630458</c:v>
                </c:pt>
                <c:pt idx="82">
                  <c:v>0.1842930713983896</c:v>
                </c:pt>
                <c:pt idx="83">
                  <c:v>0.18199835149963844</c:v>
                </c:pt>
                <c:pt idx="84">
                  <c:v>0.17982168876732763</c:v>
                </c:pt>
                <c:pt idx="85">
                  <c:v>0.17764775396144378</c:v>
                </c:pt>
                <c:pt idx="86">
                  <c:v>0.21431242743356874</c:v>
                </c:pt>
                <c:pt idx="87">
                  <c:v>0.2131418144892557</c:v>
                </c:pt>
                <c:pt idx="88">
                  <c:v>0.2110957581313255</c:v>
                </c:pt>
                <c:pt idx="89">
                  <c:v>0.20897252552666584</c:v>
                </c:pt>
                <c:pt idx="90">
                  <c:v>0.20683548190806733</c:v>
                </c:pt>
                <c:pt idx="91">
                  <c:v>0.21431242743356874</c:v>
                </c:pt>
                <c:pt idx="92">
                  <c:v>0.21276250203574679</c:v>
                </c:pt>
                <c:pt idx="93">
                  <c:v>0.21031105095835748</c:v>
                </c:pt>
                <c:pt idx="94">
                  <c:v>0.20872251451472867</c:v>
                </c:pt>
                <c:pt idx="95">
                  <c:v>0.20993741669682817</c:v>
                </c:pt>
                <c:pt idx="96">
                  <c:v>0.20814066845416707</c:v>
                </c:pt>
                <c:pt idx="97">
                  <c:v>0.20645642660202831</c:v>
                </c:pt>
                <c:pt idx="98">
                  <c:v>0.20478358741048835</c:v>
                </c:pt>
                <c:pt idx="99">
                  <c:v>0.20286568355206067</c:v>
                </c:pt>
                <c:pt idx="100">
                  <c:v>0.20195409200711911</c:v>
                </c:pt>
                <c:pt idx="101">
                  <c:v>0.21431242743356874</c:v>
                </c:pt>
                <c:pt idx="102">
                  <c:v>0.21279720790058729</c:v>
                </c:pt>
                <c:pt idx="103">
                  <c:v>0.21129536040442473</c:v>
                </c:pt>
                <c:pt idx="104">
                  <c:v>0.20990354898888577</c:v>
                </c:pt>
                <c:pt idx="105">
                  <c:v>0.20839461720499033</c:v>
                </c:pt>
                <c:pt idx="106">
                  <c:v>0.2067331919568039</c:v>
                </c:pt>
                <c:pt idx="107">
                  <c:v>0.20518382265329149</c:v>
                </c:pt>
                <c:pt idx="108">
                  <c:v>0.20608884234008482</c:v>
                </c:pt>
                <c:pt idx="109">
                  <c:v>0.20453180350622593</c:v>
                </c:pt>
                <c:pt idx="110">
                  <c:v>0.20312357073092288</c:v>
                </c:pt>
                <c:pt idx="111">
                  <c:v>0.20217586027040826</c:v>
                </c:pt>
                <c:pt idx="112">
                  <c:v>0.20154485777775777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F-4A1C-B9FF-D81FE930A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49872"/>
        <c:axId val="517250352"/>
      </c:scatterChart>
      <c:valAx>
        <c:axId val="5172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50352"/>
        <c:crosses val="autoZero"/>
        <c:crossBetween val="midCat"/>
      </c:valAx>
      <c:valAx>
        <c:axId val="5172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Soil Output'!$A$3:$A$115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Soil Output'!$D$3:$D$115</c:f>
              <c:numCache>
                <c:formatCode>General</c:formatCode>
                <c:ptCount val="113"/>
                <c:pt idx="0">
                  <c:v>0.21379501866776365</c:v>
                </c:pt>
                <c:pt idx="1">
                  <c:v>0.21306146849711757</c:v>
                </c:pt>
                <c:pt idx="2">
                  <c:v>0.21223473633142981</c:v>
                </c:pt>
                <c:pt idx="3">
                  <c:v>0.21152874993750778</c:v>
                </c:pt>
                <c:pt idx="4">
                  <c:v>0.21023730070394289</c:v>
                </c:pt>
                <c:pt idx="5">
                  <c:v>0.20921145956590753</c:v>
                </c:pt>
                <c:pt idx="6">
                  <c:v>0.20837548494032426</c:v>
                </c:pt>
                <c:pt idx="7">
                  <c:v>0.20676048706722011</c:v>
                </c:pt>
                <c:pt idx="8">
                  <c:v>0.20502316916497007</c:v>
                </c:pt>
                <c:pt idx="9">
                  <c:v>0.20392026020605772</c:v>
                </c:pt>
                <c:pt idx="10">
                  <c:v>0.20236638244961921</c:v>
                </c:pt>
                <c:pt idx="11">
                  <c:v>0.2000001701835554</c:v>
                </c:pt>
                <c:pt idx="12">
                  <c:v>0.19717557795565335</c:v>
                </c:pt>
                <c:pt idx="13">
                  <c:v>0.19415087004779913</c:v>
                </c:pt>
                <c:pt idx="14">
                  <c:v>0.19100818209193074</c:v>
                </c:pt>
                <c:pt idx="15">
                  <c:v>0.18750637403327572</c:v>
                </c:pt>
                <c:pt idx="16">
                  <c:v>0.18395653219355748</c:v>
                </c:pt>
                <c:pt idx="17">
                  <c:v>0.18054224433689234</c:v>
                </c:pt>
                <c:pt idx="18">
                  <c:v>0.17745031677035258</c:v>
                </c:pt>
                <c:pt idx="19">
                  <c:v>0.17267869633653982</c:v>
                </c:pt>
                <c:pt idx="20">
                  <c:v>0.1673932786426201</c:v>
                </c:pt>
                <c:pt idx="21">
                  <c:v>0.16144995049998875</c:v>
                </c:pt>
                <c:pt idx="22">
                  <c:v>0.15676236112190878</c:v>
                </c:pt>
                <c:pt idx="23">
                  <c:v>0.15263438357071632</c:v>
                </c:pt>
                <c:pt idx="24">
                  <c:v>0.14733787733931827</c:v>
                </c:pt>
                <c:pt idx="25">
                  <c:v>0.14176607796469445</c:v>
                </c:pt>
                <c:pt idx="26">
                  <c:v>0.13643283573350365</c:v>
                </c:pt>
                <c:pt idx="27">
                  <c:v>0.1316215414538002</c:v>
                </c:pt>
                <c:pt idx="28">
                  <c:v>0.12743566228419992</c:v>
                </c:pt>
                <c:pt idx="29">
                  <c:v>0.12197696782004303</c:v>
                </c:pt>
                <c:pt idx="30">
                  <c:v>0.21431242743356874</c:v>
                </c:pt>
                <c:pt idx="31">
                  <c:v>0.20729074546218185</c:v>
                </c:pt>
                <c:pt idx="32">
                  <c:v>0.20008436116023146</c:v>
                </c:pt>
                <c:pt idx="33">
                  <c:v>0.1940064714949328</c:v>
                </c:pt>
                <c:pt idx="34">
                  <c:v>0.18751102408703921</c:v>
                </c:pt>
                <c:pt idx="35">
                  <c:v>0.18144567293497768</c:v>
                </c:pt>
                <c:pt idx="36">
                  <c:v>0.17546112811991643</c:v>
                </c:pt>
                <c:pt idx="37">
                  <c:v>0.16902375514405782</c:v>
                </c:pt>
                <c:pt idx="38">
                  <c:v>0.16213178885155413</c:v>
                </c:pt>
                <c:pt idx="39">
                  <c:v>0.15497777748197919</c:v>
                </c:pt>
                <c:pt idx="40">
                  <c:v>0.14726357768288634</c:v>
                </c:pt>
                <c:pt idx="41">
                  <c:v>0.13939679658367218</c:v>
                </c:pt>
                <c:pt idx="42">
                  <c:v>0.13210754713429815</c:v>
                </c:pt>
                <c:pt idx="43">
                  <c:v>0.12574227825870476</c:v>
                </c:pt>
                <c:pt idx="44">
                  <c:v>0.21431242743356874</c:v>
                </c:pt>
                <c:pt idx="45">
                  <c:v>0.2100998943188512</c:v>
                </c:pt>
                <c:pt idx="46">
                  <c:v>0.20463844602086939</c:v>
                </c:pt>
                <c:pt idx="47">
                  <c:v>0.19804209784368038</c:v>
                </c:pt>
                <c:pt idx="48">
                  <c:v>0.1908967750098686</c:v>
                </c:pt>
                <c:pt idx="49">
                  <c:v>0.18384052562592917</c:v>
                </c:pt>
                <c:pt idx="50">
                  <c:v>0.17815633245936949</c:v>
                </c:pt>
                <c:pt idx="51">
                  <c:v>0.17032205800408273</c:v>
                </c:pt>
                <c:pt idx="52">
                  <c:v>0.1634305436424523</c:v>
                </c:pt>
                <c:pt idx="53">
                  <c:v>0.15556314779640754</c:v>
                </c:pt>
                <c:pt idx="54">
                  <c:v>0.14841002154392452</c:v>
                </c:pt>
                <c:pt idx="55">
                  <c:v>0.14098550280894973</c:v>
                </c:pt>
                <c:pt idx="56">
                  <c:v>0.1340970398349336</c:v>
                </c:pt>
                <c:pt idx="57">
                  <c:v>0.12679374887463679</c:v>
                </c:pt>
                <c:pt idx="58">
                  <c:v>0.21431242743356874</c:v>
                </c:pt>
                <c:pt idx="59">
                  <c:v>0.20693524111926886</c:v>
                </c:pt>
                <c:pt idx="60">
                  <c:v>0.1996704432172276</c:v>
                </c:pt>
                <c:pt idx="61">
                  <c:v>0.19231563811005678</c:v>
                </c:pt>
                <c:pt idx="62">
                  <c:v>0.18532250866850361</c:v>
                </c:pt>
                <c:pt idx="63">
                  <c:v>0.17789656484969127</c:v>
                </c:pt>
                <c:pt idx="64">
                  <c:v>0.17057065158523785</c:v>
                </c:pt>
                <c:pt idx="65">
                  <c:v>0.1691048957086915</c:v>
                </c:pt>
                <c:pt idx="66">
                  <c:v>0.16250985586444755</c:v>
                </c:pt>
                <c:pt idx="67">
                  <c:v>0.15580819457832559</c:v>
                </c:pt>
                <c:pt idx="68">
                  <c:v>0.14920850140524794</c:v>
                </c:pt>
                <c:pt idx="69">
                  <c:v>0.14215142838841729</c:v>
                </c:pt>
                <c:pt idx="70">
                  <c:v>0.13510475559768104</c:v>
                </c:pt>
                <c:pt idx="71">
                  <c:v>0.12816758123778313</c:v>
                </c:pt>
                <c:pt idx="72">
                  <c:v>0.21431242743356874</c:v>
                </c:pt>
                <c:pt idx="73">
                  <c:v>0.20679447904559475</c:v>
                </c:pt>
                <c:pt idx="74">
                  <c:v>0.19886747874136518</c:v>
                </c:pt>
                <c:pt idx="75">
                  <c:v>0.19233115567083084</c:v>
                </c:pt>
                <c:pt idx="76">
                  <c:v>0.18466435108922255</c:v>
                </c:pt>
                <c:pt idx="77">
                  <c:v>0.1775865052267375</c:v>
                </c:pt>
                <c:pt idx="78">
                  <c:v>0.17100735378586279</c:v>
                </c:pt>
                <c:pt idx="79">
                  <c:v>0.164313030671979</c:v>
                </c:pt>
                <c:pt idx="80">
                  <c:v>0.15779280843566368</c:v>
                </c:pt>
                <c:pt idx="81">
                  <c:v>0.15015862110449407</c:v>
                </c:pt>
                <c:pt idx="82">
                  <c:v>0.14437795304930043</c:v>
                </c:pt>
                <c:pt idx="83">
                  <c:v>0.13866818625613278</c:v>
                </c:pt>
                <c:pt idx="84">
                  <c:v>0.13349771324885426</c:v>
                </c:pt>
                <c:pt idx="85">
                  <c:v>0.12859364040420887</c:v>
                </c:pt>
                <c:pt idx="86">
                  <c:v>0.21431242743356874</c:v>
                </c:pt>
                <c:pt idx="87">
                  <c:v>0.21113852675717704</c:v>
                </c:pt>
                <c:pt idx="88">
                  <c:v>0.20576414006929541</c:v>
                </c:pt>
                <c:pt idx="89">
                  <c:v>0.2003078909345227</c:v>
                </c:pt>
                <c:pt idx="90">
                  <c:v>0.19496723421153128</c:v>
                </c:pt>
                <c:pt idx="91">
                  <c:v>0.2066432725599773</c:v>
                </c:pt>
                <c:pt idx="92">
                  <c:v>0.20294151312525416</c:v>
                </c:pt>
                <c:pt idx="93">
                  <c:v>0.1978133563831751</c:v>
                </c:pt>
                <c:pt idx="94">
                  <c:v>0.1944708972076287</c:v>
                </c:pt>
                <c:pt idx="95">
                  <c:v>0.19196415081302626</c:v>
                </c:pt>
                <c:pt idx="96">
                  <c:v>0.18886636791527861</c:v>
                </c:pt>
                <c:pt idx="97">
                  <c:v>0.1863018369956202</c:v>
                </c:pt>
                <c:pt idx="98">
                  <c:v>0.18410657730697969</c:v>
                </c:pt>
                <c:pt idx="99">
                  <c:v>0.18199759006613037</c:v>
                </c:pt>
                <c:pt idx="100">
                  <c:v>0.18113564142852287</c:v>
                </c:pt>
                <c:pt idx="101">
                  <c:v>0.21431242743356874</c:v>
                </c:pt>
                <c:pt idx="102">
                  <c:v>0.21336080150997963</c:v>
                </c:pt>
                <c:pt idx="103">
                  <c:v>0.21262434573189756</c:v>
                </c:pt>
                <c:pt idx="104">
                  <c:v>0.21209647310490087</c:v>
                </c:pt>
                <c:pt idx="105">
                  <c:v>0.21166924440263868</c:v>
                </c:pt>
                <c:pt idx="106">
                  <c:v>0.21132474606848606</c:v>
                </c:pt>
                <c:pt idx="107">
                  <c:v>0.21109020925748317</c:v>
                </c:pt>
                <c:pt idx="108">
                  <c:v>0.21092045863784142</c:v>
                </c:pt>
                <c:pt idx="109">
                  <c:v>0.21080766679353419</c:v>
                </c:pt>
                <c:pt idx="110">
                  <c:v>0.21074173968892435</c:v>
                </c:pt>
                <c:pt idx="111">
                  <c:v>0.21071494119385578</c:v>
                </c:pt>
                <c:pt idx="112">
                  <c:v>0.21070661246244629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E6-4A90-B5D9-45A99D447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49872"/>
        <c:axId val="517250352"/>
      </c:scatterChart>
      <c:valAx>
        <c:axId val="5172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50352"/>
        <c:crosses val="autoZero"/>
        <c:crossBetween val="midCat"/>
      </c:valAx>
      <c:valAx>
        <c:axId val="5172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Soil Output'!$A$3:$A$115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Soil Output'!$E$3:$E$115</c:f>
              <c:numCache>
                <c:formatCode>General</c:formatCode>
                <c:ptCount val="113"/>
                <c:pt idx="0">
                  <c:v>0.21403692705424149</c:v>
                </c:pt>
                <c:pt idx="1">
                  <c:v>0.21364200286688573</c:v>
                </c:pt>
                <c:pt idx="2">
                  <c:v>0.21319123533613649</c:v>
                </c:pt>
                <c:pt idx="3">
                  <c:v>0.21280057816894379</c:v>
                </c:pt>
                <c:pt idx="4">
                  <c:v>0.21207500251006467</c:v>
                </c:pt>
                <c:pt idx="5">
                  <c:v>0.21148771677843597</c:v>
                </c:pt>
                <c:pt idx="6">
                  <c:v>0.21099891957548153</c:v>
                </c:pt>
                <c:pt idx="7">
                  <c:v>0.21003610585152188</c:v>
                </c:pt>
                <c:pt idx="8">
                  <c:v>0.20897558638949129</c:v>
                </c:pt>
                <c:pt idx="9">
                  <c:v>0.20828265680573718</c:v>
                </c:pt>
                <c:pt idx="10">
                  <c:v>0.20728226102882069</c:v>
                </c:pt>
                <c:pt idx="11">
                  <c:v>0.20571997873899173</c:v>
                </c:pt>
                <c:pt idx="12">
                  <c:v>0.20380248219690808</c:v>
                </c:pt>
                <c:pt idx="13">
                  <c:v>0.20168862973420065</c:v>
                </c:pt>
                <c:pt idx="14">
                  <c:v>0.19942665162643899</c:v>
                </c:pt>
                <c:pt idx="15">
                  <c:v>0.19683376718238982</c:v>
                </c:pt>
                <c:pt idx="16">
                  <c:v>0.19412741695340588</c:v>
                </c:pt>
                <c:pt idx="17">
                  <c:v>0.19144569244021734</c:v>
                </c:pt>
                <c:pt idx="18">
                  <c:v>0.18894005082362961</c:v>
                </c:pt>
                <c:pt idx="19">
                  <c:v>0.18501724993476451</c:v>
                </c:pt>
                <c:pt idx="20">
                  <c:v>0.18056908165935281</c:v>
                </c:pt>
                <c:pt idx="21">
                  <c:v>0.17545509292204278</c:v>
                </c:pt>
                <c:pt idx="22">
                  <c:v>0.17126235335049064</c:v>
                </c:pt>
                <c:pt idx="23">
                  <c:v>0.16742968807026934</c:v>
                </c:pt>
                <c:pt idx="24">
                  <c:v>0.16247213520799464</c:v>
                </c:pt>
                <c:pt idx="25">
                  <c:v>0.15711835711310423</c:v>
                </c:pt>
                <c:pt idx="26">
                  <c:v>0.15178861845439401</c:v>
                </c:pt>
                <c:pt idx="27">
                  <c:v>0.14671486404370301</c:v>
                </c:pt>
                <c:pt idx="28">
                  <c:v>0.14198419721066044</c:v>
                </c:pt>
                <c:pt idx="29">
                  <c:v>0.13589540925163607</c:v>
                </c:pt>
                <c:pt idx="30">
                  <c:v>0.21431242743356874</c:v>
                </c:pt>
                <c:pt idx="31">
                  <c:v>0.20791958092520599</c:v>
                </c:pt>
                <c:pt idx="32">
                  <c:v>0.20133072378939593</c:v>
                </c:pt>
                <c:pt idx="33">
                  <c:v>0.19575005774594972</c:v>
                </c:pt>
                <c:pt idx="34">
                  <c:v>0.18976443628403289</c:v>
                </c:pt>
                <c:pt idx="35">
                  <c:v>0.18415213033615119</c:v>
                </c:pt>
                <c:pt idx="36">
                  <c:v>0.17859202637117449</c:v>
                </c:pt>
                <c:pt idx="37">
                  <c:v>0.17258930833076166</c:v>
                </c:pt>
                <c:pt idx="38">
                  <c:v>0.16613593375538091</c:v>
                </c:pt>
                <c:pt idx="39">
                  <c:v>0.15940045690535196</c:v>
                </c:pt>
                <c:pt idx="40">
                  <c:v>0.15209303509374014</c:v>
                </c:pt>
                <c:pt idx="41">
                  <c:v>0.14456743257046234</c:v>
                </c:pt>
                <c:pt idx="42">
                  <c:v>0.13746903033805397</c:v>
                </c:pt>
                <c:pt idx="43">
                  <c:v>0.13109054990597402</c:v>
                </c:pt>
                <c:pt idx="44">
                  <c:v>0.21431242743356874</c:v>
                </c:pt>
                <c:pt idx="45">
                  <c:v>0.20825697932378007</c:v>
                </c:pt>
                <c:pt idx="46">
                  <c:v>0.20318953389847039</c:v>
                </c:pt>
                <c:pt idx="47">
                  <c:v>0.1970637579736465</c:v>
                </c:pt>
                <c:pt idx="48">
                  <c:v>0.19042360767337532</c:v>
                </c:pt>
                <c:pt idx="49">
                  <c:v>0.18386138613974351</c:v>
                </c:pt>
                <c:pt idx="50">
                  <c:v>0.17856962597120599</c:v>
                </c:pt>
                <c:pt idx="51">
                  <c:v>0.17126862738055307</c:v>
                </c:pt>
                <c:pt idx="52">
                  <c:v>0.16483168706672721</c:v>
                </c:pt>
                <c:pt idx="53">
                  <c:v>0.1574682130025791</c:v>
                </c:pt>
                <c:pt idx="54">
                  <c:v>0.15073904956282372</c:v>
                </c:pt>
                <c:pt idx="55">
                  <c:v>0.14371606993899341</c:v>
                </c:pt>
                <c:pt idx="56">
                  <c:v>0.13712971730671644</c:v>
                </c:pt>
                <c:pt idx="57">
                  <c:v>0.13007515266541897</c:v>
                </c:pt>
                <c:pt idx="58">
                  <c:v>0.21431242743356874</c:v>
                </c:pt>
                <c:pt idx="59">
                  <c:v>0.20744401258922057</c:v>
                </c:pt>
                <c:pt idx="60">
                  <c:v>0.20067662980537992</c:v>
                </c:pt>
                <c:pt idx="61">
                  <c:v>0.19382033476086621</c:v>
                </c:pt>
                <c:pt idx="62">
                  <c:v>0.18729339183458735</c:v>
                </c:pt>
                <c:pt idx="63">
                  <c:v>0.18035362045286651</c:v>
                </c:pt>
                <c:pt idx="64">
                  <c:v>0.17349222743605772</c:v>
                </c:pt>
                <c:pt idx="65">
                  <c:v>0.16989430148961954</c:v>
                </c:pt>
                <c:pt idx="66">
                  <c:v>0.16369618179672993</c:v>
                </c:pt>
                <c:pt idx="67">
                  <c:v>0.1574227525928413</c:v>
                </c:pt>
                <c:pt idx="68">
                  <c:v>0.15121965294741055</c:v>
                </c:pt>
                <c:pt idx="69">
                  <c:v>0.14455621453909082</c:v>
                </c:pt>
                <c:pt idx="70">
                  <c:v>0.13784933285047812</c:v>
                </c:pt>
                <c:pt idx="71">
                  <c:v>0.13116827966323394</c:v>
                </c:pt>
                <c:pt idx="72">
                  <c:v>0.21431242743356874</c:v>
                </c:pt>
                <c:pt idx="73">
                  <c:v>0.20731295824476539</c:v>
                </c:pt>
                <c:pt idx="74">
                  <c:v>0.19992895930196175</c:v>
                </c:pt>
                <c:pt idx="75">
                  <c:v>0.19383400953065016</c:v>
                </c:pt>
                <c:pt idx="76">
                  <c:v>0.18667987862817567</c:v>
                </c:pt>
                <c:pt idx="77">
                  <c:v>0.18006307526491314</c:v>
                </c:pt>
                <c:pt idx="78">
                  <c:v>0.17389621594429008</c:v>
                </c:pt>
                <c:pt idx="79">
                  <c:v>0.1676038214166238</c:v>
                </c:pt>
                <c:pt idx="80">
                  <c:v>0.16144811126654299</c:v>
                </c:pt>
                <c:pt idx="81">
                  <c:v>0.15422167812962018</c:v>
                </c:pt>
                <c:pt idx="82">
                  <c:v>0.14866533980315075</c:v>
                </c:pt>
                <c:pt idx="83">
                  <c:v>0.14312058882299039</c:v>
                </c:pt>
                <c:pt idx="84">
                  <c:v>0.13800956621787019</c:v>
                </c:pt>
                <c:pt idx="85">
                  <c:v>0.13307209135077819</c:v>
                </c:pt>
                <c:pt idx="86">
                  <c:v>0.21431242743356874</c:v>
                </c:pt>
                <c:pt idx="87">
                  <c:v>0.21135741645899717</c:v>
                </c:pt>
                <c:pt idx="88">
                  <c:v>0.206352361006162</c:v>
                </c:pt>
                <c:pt idx="89">
                  <c:v>0.20126839719084288</c:v>
                </c:pt>
                <c:pt idx="90">
                  <c:v>0.19628864700364124</c:v>
                </c:pt>
                <c:pt idx="91">
                  <c:v>0.19216322224933641</c:v>
                </c:pt>
                <c:pt idx="92">
                  <c:v>0.18882534278094362</c:v>
                </c:pt>
                <c:pt idx="93">
                  <c:v>0.18416189460129079</c:v>
                </c:pt>
                <c:pt idx="94">
                  <c:v>0.1811659542589267</c:v>
                </c:pt>
                <c:pt idx="95">
                  <c:v>0.17894632420389697</c:v>
                </c:pt>
                <c:pt idx="96">
                  <c:v>0.17617039753838359</c:v>
                </c:pt>
                <c:pt idx="97">
                  <c:v>0.17388477027277485</c:v>
                </c:pt>
                <c:pt idx="98">
                  <c:v>0.17193390838611272</c:v>
                </c:pt>
                <c:pt idx="99">
                  <c:v>0.17005261321643386</c:v>
                </c:pt>
                <c:pt idx="100">
                  <c:v>0.16932123551358241</c:v>
                </c:pt>
                <c:pt idx="101">
                  <c:v>0.17268263586236599</c:v>
                </c:pt>
                <c:pt idx="102">
                  <c:v>0.17189473720300036</c:v>
                </c:pt>
                <c:pt idx="103">
                  <c:v>0.17128723032047663</c:v>
                </c:pt>
                <c:pt idx="104">
                  <c:v>0.17085667161197263</c:v>
                </c:pt>
                <c:pt idx="105">
                  <c:v>0.17050533976014551</c:v>
                </c:pt>
                <c:pt idx="106">
                  <c:v>0.17021928937060349</c:v>
                </c:pt>
                <c:pt idx="107">
                  <c:v>0.17002626070891982</c:v>
                </c:pt>
                <c:pt idx="108">
                  <c:v>0.16988617885358528</c:v>
                </c:pt>
                <c:pt idx="109">
                  <c:v>0.1697934059238605</c:v>
                </c:pt>
                <c:pt idx="110">
                  <c:v>0.16973986410482048</c:v>
                </c:pt>
                <c:pt idx="111">
                  <c:v>0.16971939143238535</c:v>
                </c:pt>
                <c:pt idx="112">
                  <c:v>0.16971356372986673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E7-4C67-93B7-CDC23FA5B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49872"/>
        <c:axId val="517250352"/>
      </c:scatterChart>
      <c:valAx>
        <c:axId val="5172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50352"/>
        <c:crosses val="autoZero"/>
        <c:crossBetween val="midCat"/>
      </c:valAx>
      <c:valAx>
        <c:axId val="5172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One Soil Output'!$A$3:$A$115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xVal>
          <c:yVal>
            <c:numRef>
              <c:f>'Crop One Soil Output'!$F$3:$F$115</c:f>
              <c:numCache>
                <c:formatCode>General</c:formatCode>
                <c:ptCount val="113"/>
                <c:pt idx="0">
                  <c:v>0.24903995693089714</c:v>
                </c:pt>
                <c:pt idx="1">
                  <c:v>0.24896719190821714</c:v>
                </c:pt>
                <c:pt idx="2">
                  <c:v>0.24887828767473233</c:v>
                </c:pt>
                <c:pt idx="3">
                  <c:v>0.24879587492386954</c:v>
                </c:pt>
                <c:pt idx="4">
                  <c:v>0.24862732158574843</c:v>
                </c:pt>
                <c:pt idx="5">
                  <c:v>0.24847896253359683</c:v>
                </c:pt>
                <c:pt idx="6">
                  <c:v>0.24834377058021695</c:v>
                </c:pt>
                <c:pt idx="7">
                  <c:v>0.24804319179203557</c:v>
                </c:pt>
                <c:pt idx="8">
                  <c:v>0.24767299989993272</c:v>
                </c:pt>
                <c:pt idx="9">
                  <c:v>0.24740736055155058</c:v>
                </c:pt>
                <c:pt idx="10">
                  <c:v>0.24698152957405911</c:v>
                </c:pt>
                <c:pt idx="11">
                  <c:v>0.24624915420842353</c:v>
                </c:pt>
                <c:pt idx="12">
                  <c:v>0.24527147318534775</c:v>
                </c:pt>
                <c:pt idx="13">
                  <c:v>0.24410977300539732</c:v>
                </c:pt>
                <c:pt idx="14">
                  <c:v>0.24278017810208485</c:v>
                </c:pt>
                <c:pt idx="15">
                  <c:v>0.24116018936538156</c:v>
                </c:pt>
                <c:pt idx="16">
                  <c:v>0.23937645335166141</c:v>
                </c:pt>
                <c:pt idx="17">
                  <c:v>0.23752408372443753</c:v>
                </c:pt>
                <c:pt idx="18">
                  <c:v>0.23572125129829147</c:v>
                </c:pt>
                <c:pt idx="19">
                  <c:v>0.23278459892244246</c:v>
                </c:pt>
                <c:pt idx="20">
                  <c:v>0.22934357133234479</c:v>
                </c:pt>
                <c:pt idx="21">
                  <c:v>0.22527137735906808</c:v>
                </c:pt>
                <c:pt idx="22">
                  <c:v>0.22184410255685519</c:v>
                </c:pt>
                <c:pt idx="23">
                  <c:v>0.21863454369721044</c:v>
                </c:pt>
                <c:pt idx="24">
                  <c:v>0.21440267368548938</c:v>
                </c:pt>
                <c:pt idx="25">
                  <c:v>0.20974229774812461</c:v>
                </c:pt>
                <c:pt idx="26">
                  <c:v>0.20500548532604695</c:v>
                </c:pt>
                <c:pt idx="27">
                  <c:v>0.20038978737437332</c:v>
                </c:pt>
                <c:pt idx="28">
                  <c:v>0.19596844709217201</c:v>
                </c:pt>
                <c:pt idx="29">
                  <c:v>0.19022092996537412</c:v>
                </c:pt>
                <c:pt idx="30">
                  <c:v>0.24908731015293847</c:v>
                </c:pt>
                <c:pt idx="31">
                  <c:v>0.24341886701403218</c:v>
                </c:pt>
                <c:pt idx="32">
                  <c:v>0.23755972087814062</c:v>
                </c:pt>
                <c:pt idx="33">
                  <c:v>0.23260855081371845</c:v>
                </c:pt>
                <c:pt idx="34">
                  <c:v>0.22728486377947194</c:v>
                </c:pt>
                <c:pt idx="35">
                  <c:v>0.22230226754901586</c:v>
                </c:pt>
                <c:pt idx="36">
                  <c:v>0.21736983626094011</c:v>
                </c:pt>
                <c:pt idx="37">
                  <c:v>0.2120352141331151</c:v>
                </c:pt>
                <c:pt idx="38">
                  <c:v>0.2062918081192171</c:v>
                </c:pt>
                <c:pt idx="39">
                  <c:v>0.20029440558429493</c:v>
                </c:pt>
                <c:pt idx="40">
                  <c:v>0.19377309465213727</c:v>
                </c:pt>
                <c:pt idx="41">
                  <c:v>0.18704656896234118</c:v>
                </c:pt>
                <c:pt idx="42">
                  <c:v>0.1806940552050221</c:v>
                </c:pt>
                <c:pt idx="43">
                  <c:v>0.17495967431004197</c:v>
                </c:pt>
                <c:pt idx="44">
                  <c:v>0.24908731015293847</c:v>
                </c:pt>
                <c:pt idx="45">
                  <c:v>0.24359485347698254</c:v>
                </c:pt>
                <c:pt idx="46">
                  <c:v>0.23902607304729884</c:v>
                </c:pt>
                <c:pt idx="47">
                  <c:v>0.2334874553306365</c:v>
                </c:pt>
                <c:pt idx="48">
                  <c:v>0.22748561295470215</c:v>
                </c:pt>
                <c:pt idx="49">
                  <c:v>0.22157139451917934</c:v>
                </c:pt>
                <c:pt idx="50">
                  <c:v>0.21684988670148339</c:v>
                </c:pt>
                <c:pt idx="51">
                  <c:v>0.21028116334564007</c:v>
                </c:pt>
                <c:pt idx="52">
                  <c:v>0.20453272036379119</c:v>
                </c:pt>
                <c:pt idx="53">
                  <c:v>0.19794190285250751</c:v>
                </c:pt>
                <c:pt idx="54">
                  <c:v>0.19195238146705942</c:v>
                </c:pt>
                <c:pt idx="55">
                  <c:v>0.18569406370760291</c:v>
                </c:pt>
                <c:pt idx="56">
                  <c:v>0.17982791424561692</c:v>
                </c:pt>
                <c:pt idx="57">
                  <c:v>0.17349134336518854</c:v>
                </c:pt>
                <c:pt idx="58">
                  <c:v>0.24908731015293847</c:v>
                </c:pt>
                <c:pt idx="59">
                  <c:v>0.24283420350019411</c:v>
                </c:pt>
                <c:pt idx="60">
                  <c:v>0.23668848650057508</c:v>
                </c:pt>
                <c:pt idx="61">
                  <c:v>0.23047558189410525</c:v>
                </c:pt>
                <c:pt idx="62">
                  <c:v>0.22458450028706545</c:v>
                </c:pt>
                <c:pt idx="63">
                  <c:v>0.21832836835169528</c:v>
                </c:pt>
                <c:pt idx="64">
                  <c:v>0.2121642129876109</c:v>
                </c:pt>
                <c:pt idx="65">
                  <c:v>0.2090411537479395</c:v>
                </c:pt>
                <c:pt idx="66">
                  <c:v>0.2035176599329033</c:v>
                </c:pt>
                <c:pt idx="67">
                  <c:v>0.19793863316297644</c:v>
                </c:pt>
                <c:pt idx="68">
                  <c:v>0.19243485184099199</c:v>
                </c:pt>
                <c:pt idx="69">
                  <c:v>0.18650709189617051</c:v>
                </c:pt>
                <c:pt idx="70">
                  <c:v>0.1805283225368175</c:v>
                </c:pt>
                <c:pt idx="71">
                  <c:v>0.17453905769665867</c:v>
                </c:pt>
                <c:pt idx="72">
                  <c:v>0.24908731015293847</c:v>
                </c:pt>
                <c:pt idx="73">
                  <c:v>0.24271285688495781</c:v>
                </c:pt>
                <c:pt idx="74">
                  <c:v>0.23599649877369616</c:v>
                </c:pt>
                <c:pt idx="75">
                  <c:v>0.23049046834607559</c:v>
                </c:pt>
                <c:pt idx="76">
                  <c:v>0.22401858807742958</c:v>
                </c:pt>
                <c:pt idx="77">
                  <c:v>0.21806338130795758</c:v>
                </c:pt>
                <c:pt idx="78">
                  <c:v>0.21254320601127091</c:v>
                </c:pt>
                <c:pt idx="79">
                  <c:v>0.20692375418368594</c:v>
                </c:pt>
                <c:pt idx="80">
                  <c:v>0.20144719997424004</c:v>
                </c:pt>
                <c:pt idx="81">
                  <c:v>0.19499238331271082</c:v>
                </c:pt>
                <c:pt idx="82">
                  <c:v>0.19009422127609452</c:v>
                </c:pt>
                <c:pt idx="83">
                  <c:v>0.1852027278797716</c:v>
                </c:pt>
                <c:pt idx="84">
                  <c:v>0.18069617471189192</c:v>
                </c:pt>
                <c:pt idx="85">
                  <c:v>0.17631778021286271</c:v>
                </c:pt>
                <c:pt idx="86">
                  <c:v>0.24908731015293847</c:v>
                </c:pt>
                <c:pt idx="87">
                  <c:v>0.24645397658096152</c:v>
                </c:pt>
                <c:pt idx="88">
                  <c:v>0.24192589159847663</c:v>
                </c:pt>
                <c:pt idx="89">
                  <c:v>0.23733203070031253</c:v>
                </c:pt>
                <c:pt idx="90">
                  <c:v>0.23284173864188232</c:v>
                </c:pt>
                <c:pt idx="91">
                  <c:v>0.22914855181937885</c:v>
                </c:pt>
                <c:pt idx="92">
                  <c:v>0.22618732203945549</c:v>
                </c:pt>
                <c:pt idx="93">
                  <c:v>0.22199785255971</c:v>
                </c:pt>
                <c:pt idx="94">
                  <c:v>0.2193525381579752</c:v>
                </c:pt>
                <c:pt idx="95">
                  <c:v>0.21742007012462036</c:v>
                </c:pt>
                <c:pt idx="96">
                  <c:v>0.21496298687282211</c:v>
                </c:pt>
                <c:pt idx="97">
                  <c:v>0.2129498801255709</c:v>
                </c:pt>
                <c:pt idx="98">
                  <c:v>0.2112347957760019</c:v>
                </c:pt>
                <c:pt idx="99">
                  <c:v>0.20957137543886251</c:v>
                </c:pt>
                <c:pt idx="100">
                  <c:v>0.20896022666786807</c:v>
                </c:pt>
                <c:pt idx="101">
                  <c:v>0.2085433205649051</c:v>
                </c:pt>
                <c:pt idx="102">
                  <c:v>0.20787250451004685</c:v>
                </c:pt>
                <c:pt idx="103">
                  <c:v>0.2073562115276239</c:v>
                </c:pt>
                <c:pt idx="104">
                  <c:v>0.20699321247446029</c:v>
                </c:pt>
                <c:pt idx="105">
                  <c:v>0.20669490055743403</c:v>
                </c:pt>
                <c:pt idx="106">
                  <c:v>0.20645009136044876</c:v>
                </c:pt>
                <c:pt idx="107">
                  <c:v>0.20628593815423907</c:v>
                </c:pt>
                <c:pt idx="108">
                  <c:v>0.20616653534318674</c:v>
                </c:pt>
                <c:pt idx="109">
                  <c:v>0.20608763912256853</c:v>
                </c:pt>
                <c:pt idx="110">
                  <c:v>0.20604254222413748</c:v>
                </c:pt>
                <c:pt idx="111">
                  <c:v>0.20602614215240458</c:v>
                </c:pt>
                <c:pt idx="112">
                  <c:v>0.20602184550969799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2-40A6-8FCB-978676E73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49872"/>
        <c:axId val="517250352"/>
      </c:scatterChart>
      <c:valAx>
        <c:axId val="5172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50352"/>
        <c:crosses val="autoZero"/>
        <c:crossBetween val="midCat"/>
      </c:valAx>
      <c:valAx>
        <c:axId val="5172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 Canopy Cover (0 to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Two Output'!$C$1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Output'!$C$2:$C$114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9F-4B20-A013-18475802DE04}"/>
            </c:ext>
          </c:extLst>
        </c:ser>
        <c:ser>
          <c:idx val="1"/>
          <c:order val="1"/>
          <c:tx>
            <c:strRef>
              <c:f>'Crop Two Output'!$F$1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Output'!$F$2:$F$114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9F-4B20-A013-18475802D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71808"/>
        <c:axId val="399173248"/>
      </c:scatterChart>
      <c:valAx>
        <c:axId val="39917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layout>
            <c:manualLayout>
              <c:xMode val="edge"/>
              <c:yMode val="edge"/>
              <c:x val="0.35756124234470693"/>
              <c:y val="0.775346675415573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73248"/>
        <c:crosses val="autoZero"/>
        <c:crossBetween val="midCat"/>
      </c:valAx>
      <c:valAx>
        <c:axId val="39917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7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evapotranspiration (mm)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Potential crop transpiration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Output'!$D$2:$D$114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0-4955-8195-D9C6FEE1AAF2}"/>
            </c:ext>
          </c:extLst>
        </c:ser>
        <c:ser>
          <c:idx val="1"/>
          <c:order val="1"/>
          <c:tx>
            <c:v>Actual crop transpiration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Output'!$H$2:$H$114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0-4955-8195-D9C6FEE1AAF2}"/>
            </c:ext>
          </c:extLst>
        </c:ser>
        <c:ser>
          <c:idx val="2"/>
          <c:order val="2"/>
          <c:tx>
            <c:v>Soil evap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Output'!$I$2:$I$114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F0-4955-8195-D9C6FEE1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59696"/>
        <c:axId val="396855856"/>
      </c:scatterChart>
      <c:valAx>
        <c:axId val="39685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layout>
            <c:manualLayout>
              <c:xMode val="edge"/>
              <c:yMode val="edge"/>
              <c:x val="0.37715157480314959"/>
              <c:y val="0.786665937591134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55856"/>
        <c:crosses val="autoZero"/>
        <c:crossBetween val="midCat"/>
      </c:valAx>
      <c:valAx>
        <c:axId val="39685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5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Aboveground biomass (kg)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Potential biomass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Output'!$E$2:$E$114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A6-4611-8EE5-D2A617D5A89C}"/>
            </c:ext>
          </c:extLst>
        </c:ser>
        <c:ser>
          <c:idx val="1"/>
          <c:order val="1"/>
          <c:tx>
            <c:v>Actual biomass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Output'!$G$2:$G$114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A6-4611-8EE5-D2A617D5A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53456"/>
        <c:axId val="396852016"/>
      </c:scatterChart>
      <c:valAx>
        <c:axId val="3968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52016"/>
        <c:crosses val="autoZero"/>
        <c:crossBetween val="midCat"/>
      </c:valAx>
      <c:valAx>
        <c:axId val="3968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5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Crop Height and Root Depth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Two Output'!$J$1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Output'!$J$2:$J$114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C7-494F-96E2-C2D35F6D7357}"/>
            </c:ext>
          </c:extLst>
        </c:ser>
        <c:ser>
          <c:idx val="1"/>
          <c:order val="1"/>
          <c:tx>
            <c:strRef>
              <c:f>'Crop Two Output'!$K$1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Output'!$K$2:$K$114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C7-494F-96E2-C2D35F6D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114496"/>
        <c:axId val="1392113536"/>
      </c:scatterChart>
      <c:valAx>
        <c:axId val="139211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layout>
            <c:manualLayout>
              <c:xMode val="edge"/>
              <c:yMode val="edge"/>
              <c:x val="0.38290835520559929"/>
              <c:y val="0.786665937591134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13536"/>
        <c:crosses val="autoZero"/>
        <c:crossBetween val="midCat"/>
      </c:valAx>
      <c:valAx>
        <c:axId val="13921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1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N Concentration (kg N / kg Biomass)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Maximum Concentration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Output'!$L$2:$L$114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2A-48F9-84BB-35D2923BB305}"/>
            </c:ext>
          </c:extLst>
        </c:ser>
        <c:ser>
          <c:idx val="1"/>
          <c:order val="1"/>
          <c:tx>
            <c:v>Critical Concentration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Output'!$M$2:$M$114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2A-48F9-84BB-35D2923BB305}"/>
            </c:ext>
          </c:extLst>
        </c:ser>
        <c:ser>
          <c:idx val="2"/>
          <c:order val="2"/>
          <c:tx>
            <c:v>Minimum Concentration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Output'!$N$2:$N$114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2A-48F9-84BB-35D2923BB305}"/>
            </c:ext>
          </c:extLst>
        </c:ser>
        <c:ser>
          <c:idx val="3"/>
          <c:order val="3"/>
          <c:tx>
            <c:v>Actual Crop Concentration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Output'!$O$2:$O$114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2A-48F9-84BB-35D2923BB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71696"/>
        <c:axId val="396875536"/>
      </c:scatterChart>
      <c:valAx>
        <c:axId val="3968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layout>
            <c:manualLayout>
              <c:xMode val="edge"/>
              <c:yMode val="edge"/>
              <c:x val="0.39195013123359579"/>
              <c:y val="0.7062255759696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75536"/>
        <c:crosses val="autoZero"/>
        <c:crossBetween val="midCat"/>
      </c:valAx>
      <c:valAx>
        <c:axId val="3968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7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'Crop Two Output'!$P$1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Output'!$P$2:$P$114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01-4D29-A131-57E7706D2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80816"/>
        <c:axId val="399197728"/>
      </c:scatterChart>
      <c:valAx>
        <c:axId val="39688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97728"/>
        <c:crosses val="autoZero"/>
        <c:crossBetween val="midCat"/>
      </c:valAx>
      <c:valAx>
        <c:axId val="3991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8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Stress Index (0 to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Water Stress Index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Output'!$R$2:$R$114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A7-42E4-917A-A2FF08B4A05C}"/>
            </c:ext>
          </c:extLst>
        </c:ser>
        <c:ser>
          <c:idx val="1"/>
          <c:order val="1"/>
          <c:tx>
            <c:v>Nitrogen Stress Index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Output'!$S$2:$S$114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A7-42E4-917A-A2FF08B4A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512320"/>
        <c:axId val="1393510400"/>
      </c:scatterChart>
      <c:valAx>
        <c:axId val="139351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10400"/>
        <c:crosses val="autoZero"/>
        <c:crossBetween val="midCat"/>
      </c:valAx>
      <c:valAx>
        <c:axId val="139351040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1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Soil Profile Plant</a:t>
            </a:r>
            <a:r>
              <a:rPr lang="en-US" baseline="0"/>
              <a:t> Available Water Depletion (0 to 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Output'!$T$2:$T$114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3E-483F-AE00-6DA6CAA2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165696"/>
        <c:axId val="1187162336"/>
      </c:scatterChart>
      <c:valAx>
        <c:axId val="118716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162336"/>
        <c:crosses val="autoZero"/>
        <c:crossBetween val="midCat"/>
      </c:valAx>
      <c:valAx>
        <c:axId val="118716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16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Uptake Rate (kg/ha/day)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Output'!$AC$2:$AC$114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A0-4301-BE84-E1AD2B1EE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042352"/>
        <c:axId val="643048592"/>
      </c:scatterChart>
      <c:valAx>
        <c:axId val="6430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48592"/>
        <c:crosses val="autoZero"/>
        <c:crossBetween val="midCat"/>
      </c:valAx>
      <c:valAx>
        <c:axId val="6430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4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Available Water Depletion (0 to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10-60 cm soil depth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Output'!$U$2:$U$114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D-46BC-B0EA-09B654B6B4AD}"/>
            </c:ext>
          </c:extLst>
        </c:ser>
        <c:ser>
          <c:idx val="1"/>
          <c:order val="1"/>
          <c:tx>
            <c:v>60-110 cm soil depth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Output'!$V$2:$V$114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D-46BC-B0EA-09B654B6B4AD}"/>
            </c:ext>
          </c:extLst>
        </c:ser>
        <c:ser>
          <c:idx val="2"/>
          <c:order val="2"/>
          <c:tx>
            <c:v>100-160 cm soil depth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Output'!$W$2:$W$114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D-46BC-B0EA-09B654B6B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558592"/>
        <c:axId val="1405560512"/>
      </c:scatterChart>
      <c:valAx>
        <c:axId val="140555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Days after emergence</a:t>
                </a:r>
              </a:p>
            </c:rich>
          </c:tx>
          <c:layout>
            <c:manualLayout>
              <c:xMode val="edge"/>
              <c:yMode val="edge"/>
              <c:x val="0.38784963354990465"/>
              <c:y val="0.795179345158019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560512"/>
        <c:crosses val="autoZero"/>
        <c:crossBetween val="midCat"/>
      </c:valAx>
      <c:valAx>
        <c:axId val="14055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55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Soil N Mass (kg/ha)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'Crop Two Output'!$X$1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Output'!$X$2:$X$114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2-4FED-92FE-86A5B9B27B11}"/>
            </c:ext>
          </c:extLst>
        </c:ser>
        <c:ser>
          <c:idx val="1"/>
          <c:order val="1"/>
          <c:tx>
            <c:strRef>
              <c:f>'Crop Two Output'!$Y$1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Output'!$Y$2:$Y$114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2-4FED-92FE-86A5B9B27B11}"/>
            </c:ext>
          </c:extLst>
        </c:ser>
        <c:ser>
          <c:idx val="2"/>
          <c:order val="2"/>
          <c:tx>
            <c:strRef>
              <c:f>'Crop Two Output'!$Z$1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Output'!$Z$2:$Z$114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2-4FED-92FE-86A5B9B27B11}"/>
            </c:ext>
          </c:extLst>
        </c:ser>
        <c:ser>
          <c:idx val="3"/>
          <c:order val="3"/>
          <c:tx>
            <c:strRef>
              <c:f>'Crop Two Output'!$AB$1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Two Output'!$A$2:$A$114</c:f>
              <c:numCache>
                <c:formatCode>General</c:formatCode>
                <c:ptCount val="113"/>
              </c:numCache>
            </c:numRef>
          </c:xVal>
          <c:yVal>
            <c:numRef>
              <c:f>'Crop Two Output'!$AB$2:$AB$114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2-4FED-92FE-86A5B9B27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09664"/>
        <c:axId val="514501984"/>
      </c:scatterChart>
      <c:valAx>
        <c:axId val="51450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1984"/>
        <c:crosses val="autoZero"/>
        <c:crossBetween val="midCat"/>
      </c:valAx>
      <c:valAx>
        <c:axId val="51450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Output'!$D$3:$D$115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8-481F-9DAC-E43C7081C38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Output'!$E$3:$E$115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18-481F-9DAC-E43C7081C38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Output'!$F$3:$F$115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18-481F-9DAC-E43C7081C38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Output'!$G$3:$G$115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18-481F-9DAC-E43C7081C38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Output'!$H$3:$H$115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18-481F-9DAC-E43C7081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2192"/>
        <c:axId val="95380432"/>
      </c:scatterChart>
      <c:valAx>
        <c:axId val="953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80432"/>
        <c:crosses val="autoZero"/>
        <c:crossBetween val="midCat"/>
      </c:valAx>
      <c:valAx>
        <c:axId val="9538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Output'!$I$3:$I$115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0-4C9C-8002-163183E305F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Output'!$J$3:$J$115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0-4C9C-8002-163183E305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Output'!$K$3:$K$115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0-4C9C-8002-163183E305F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Output'!$L$3:$L$115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0-4C9C-8002-163183E305F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Output'!$M$3:$M$115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0-4C9C-8002-163183E30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2192"/>
        <c:axId val="95380432"/>
      </c:scatterChart>
      <c:valAx>
        <c:axId val="953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80432"/>
        <c:crosses val="autoZero"/>
        <c:crossBetween val="midCat"/>
      </c:valAx>
      <c:valAx>
        <c:axId val="9538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Output'!$N$3:$N$115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2-4172-8CF3-8E45D13AC43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Output'!$O$3:$O$115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92-4172-8CF3-8E45D13AC43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Output'!$P$3:$P$115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92-4172-8CF3-8E45D13AC43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Output'!$Q$3:$Q$115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92-4172-8CF3-8E45D13AC43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'Crop Two Soil Output'!$A$3:$A$115</c:f>
              <c:numCache>
                <c:formatCode>General</c:formatCode>
                <c:ptCount val="113"/>
              </c:numCache>
            </c:numRef>
          </c:xVal>
          <c:yVal>
            <c:numRef>
              <c:f>'Crop Two Soil Output'!$R$3:$R$115</c:f>
              <c:numCache>
                <c:formatCode>General</c:formatCode>
                <c:ptCount val="1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92-4172-8CF3-8E45D13AC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2192"/>
        <c:axId val="95380432"/>
      </c:scatterChart>
      <c:valAx>
        <c:axId val="953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80432"/>
        <c:crosses val="autoZero"/>
        <c:crossBetween val="midCat"/>
      </c:valAx>
      <c:valAx>
        <c:axId val="9538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Test!$K$7:$K$30</c:f>
              <c:numCache>
                <c:formatCode>0.0000000</c:formatCode>
                <c:ptCount val="24"/>
                <c:pt idx="0">
                  <c:v>8.0000000000000004E-4</c:v>
                </c:pt>
                <c:pt idx="1">
                  <c:v>7.6000000000000004E-4</c:v>
                </c:pt>
                <c:pt idx="2">
                  <c:v>7.2000000000000005E-4</c:v>
                </c:pt>
                <c:pt idx="3">
                  <c:v>6.8000000000000005E-4</c:v>
                </c:pt>
                <c:pt idx="4">
                  <c:v>6.4000000000000005E-4</c:v>
                </c:pt>
                <c:pt idx="5">
                  <c:v>6.0000000000000006E-4</c:v>
                </c:pt>
                <c:pt idx="6">
                  <c:v>5.5999999999999995E-4</c:v>
                </c:pt>
                <c:pt idx="7">
                  <c:v>5.2000000000000006E-4</c:v>
                </c:pt>
                <c:pt idx="8">
                  <c:v>4.8000000000000001E-4</c:v>
                </c:pt>
                <c:pt idx="9">
                  <c:v>4.4000000000000088E-4</c:v>
                </c:pt>
                <c:pt idx="10">
                  <c:v>4.0000000000000083E-4</c:v>
                </c:pt>
                <c:pt idx="11">
                  <c:v>3.6000000000000084E-4</c:v>
                </c:pt>
                <c:pt idx="12">
                  <c:v>3.2000000000000084E-4</c:v>
                </c:pt>
                <c:pt idx="13">
                  <c:v>2.8000000000000079E-4</c:v>
                </c:pt>
                <c:pt idx="14">
                  <c:v>2.4000000000000079E-4</c:v>
                </c:pt>
                <c:pt idx="15">
                  <c:v>2.000000000000008E-4</c:v>
                </c:pt>
                <c:pt idx="16">
                  <c:v>1.6000000000000083E-4</c:v>
                </c:pt>
                <c:pt idx="17">
                  <c:v>1.200000000000008E-4</c:v>
                </c:pt>
                <c:pt idx="18">
                  <c:v>8.0000000000000806E-5</c:v>
                </c:pt>
                <c:pt idx="19">
                  <c:v>4.0000000000000722E-5</c:v>
                </c:pt>
                <c:pt idx="20">
                  <c:v>3.2000000000000005E-5</c:v>
                </c:pt>
                <c:pt idx="21">
                  <c:v>2.4000000000000001E-5</c:v>
                </c:pt>
                <c:pt idx="22">
                  <c:v>1.6000000000000003E-5</c:v>
                </c:pt>
                <c:pt idx="23">
                  <c:v>8.0000000000000013E-6</c:v>
                </c:pt>
              </c:numCache>
            </c:numRef>
          </c:xVal>
          <c:yVal>
            <c:numRef>
              <c:f>Test!$L$7:$L$30</c:f>
              <c:numCache>
                <c:formatCode>General</c:formatCode>
                <c:ptCount val="24"/>
                <c:pt idx="0">
                  <c:v>0.9375</c:v>
                </c:pt>
                <c:pt idx="1">
                  <c:v>0.93421052631578949</c:v>
                </c:pt>
                <c:pt idx="2">
                  <c:v>0.93055555555555558</c:v>
                </c:pt>
                <c:pt idx="3">
                  <c:v>0.92647058823529405</c:v>
                </c:pt>
                <c:pt idx="4">
                  <c:v>0.921875</c:v>
                </c:pt>
                <c:pt idx="5">
                  <c:v>0.91666666666666663</c:v>
                </c:pt>
                <c:pt idx="6">
                  <c:v>0.9107142857142857</c:v>
                </c:pt>
                <c:pt idx="7">
                  <c:v>0.90384615384615385</c:v>
                </c:pt>
                <c:pt idx="8">
                  <c:v>0.89583333333333337</c:v>
                </c:pt>
                <c:pt idx="9">
                  <c:v>0.88636363636363669</c:v>
                </c:pt>
                <c:pt idx="10">
                  <c:v>0.87500000000000022</c:v>
                </c:pt>
                <c:pt idx="11">
                  <c:v>0.86111111111111138</c:v>
                </c:pt>
                <c:pt idx="12">
                  <c:v>0.84375000000000033</c:v>
                </c:pt>
                <c:pt idx="13">
                  <c:v>0.82142857142857195</c:v>
                </c:pt>
                <c:pt idx="14">
                  <c:v>0.7916666666666673</c:v>
                </c:pt>
                <c:pt idx="15">
                  <c:v>0.75000000000000089</c:v>
                </c:pt>
                <c:pt idx="16">
                  <c:v>0.68750000000000167</c:v>
                </c:pt>
                <c:pt idx="17">
                  <c:v>0.58333333333333615</c:v>
                </c:pt>
                <c:pt idx="18">
                  <c:v>0.37500000000000627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80-4B0A-AE2B-5D7E44E80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667152"/>
        <c:axId val="508665712"/>
      </c:scatterChart>
      <c:valAx>
        <c:axId val="50866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65712"/>
        <c:crosses val="autoZero"/>
        <c:crossBetween val="midCat"/>
      </c:valAx>
      <c:valAx>
        <c:axId val="50866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6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3</xdr:col>
          <xdr:colOff>1257300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3</xdr:col>
          <xdr:colOff>1257300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50</xdr:row>
          <xdr:rowOff>104775</xdr:rowOff>
        </xdr:from>
        <xdr:to>
          <xdr:col>3</xdr:col>
          <xdr:colOff>1000125</xdr:colOff>
          <xdr:row>53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14287</xdr:rowOff>
    </xdr:from>
    <xdr:to>
      <xdr:col>4</xdr:col>
      <xdr:colOff>628650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AFCEA3-5F64-0AE7-37A4-18AF4F7D9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1</xdr:row>
      <xdr:rowOff>128587</xdr:rowOff>
    </xdr:from>
    <xdr:to>
      <xdr:col>13</xdr:col>
      <xdr:colOff>695325</xdr:colOff>
      <xdr:row>16</xdr:row>
      <xdr:rowOff>14287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BA2A07-568B-9884-DD83-B7EA30EE6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781050</xdr:colOff>
      <xdr:row>1</xdr:row>
      <xdr:rowOff>185737</xdr:rowOff>
    </xdr:from>
    <xdr:to>
      <xdr:col>9</xdr:col>
      <xdr:colOff>161925</xdr:colOff>
      <xdr:row>16</xdr:row>
      <xdr:rowOff>71437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223D4B-BA64-D94A-1A00-ABE6F250E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209550</xdr:colOff>
      <xdr:row>16</xdr:row>
      <xdr:rowOff>109537</xdr:rowOff>
    </xdr:from>
    <xdr:to>
      <xdr:col>4</xdr:col>
      <xdr:colOff>628650</xdr:colOff>
      <xdr:row>30</xdr:row>
      <xdr:rowOff>185737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D9ED25C-CA2C-A9CE-C263-903FA3AA8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66675</xdr:colOff>
      <xdr:row>16</xdr:row>
      <xdr:rowOff>61912</xdr:rowOff>
    </xdr:from>
    <xdr:to>
      <xdr:col>14</xdr:col>
      <xdr:colOff>485775</xdr:colOff>
      <xdr:row>30</xdr:row>
      <xdr:rowOff>138112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80963F5-9DC8-8CD6-8C98-837AEA11F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752473</xdr:colOff>
      <xdr:row>1</xdr:row>
      <xdr:rowOff>85724</xdr:rowOff>
    </xdr:from>
    <xdr:to>
      <xdr:col>17</xdr:col>
      <xdr:colOff>981074</xdr:colOff>
      <xdr:row>16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8178AC4-35BA-37E5-13BD-D048AFF11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85725</xdr:colOff>
      <xdr:row>15</xdr:row>
      <xdr:rowOff>152400</xdr:rowOff>
    </xdr:from>
    <xdr:to>
      <xdr:col>22</xdr:col>
      <xdr:colOff>333375</xdr:colOff>
      <xdr:row>29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807B1A-A3AE-39A6-EA8F-2687665A8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552449</xdr:colOff>
      <xdr:row>1</xdr:row>
      <xdr:rowOff>71437</xdr:rowOff>
    </xdr:from>
    <xdr:to>
      <xdr:col>27</xdr:col>
      <xdr:colOff>533399</xdr:colOff>
      <xdr:row>12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EAE996-74F6-0F75-F299-0B604C5B6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514349</xdr:colOff>
      <xdr:row>11</xdr:row>
      <xdr:rowOff>171450</xdr:rowOff>
    </xdr:from>
    <xdr:to>
      <xdr:col>27</xdr:col>
      <xdr:colOff>533399</xdr:colOff>
      <xdr:row>22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DBD6547-0C27-44BD-8E10-A93E7FCD4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542924</xdr:colOff>
      <xdr:row>23</xdr:row>
      <xdr:rowOff>19050</xdr:rowOff>
    </xdr:from>
    <xdr:to>
      <xdr:col>27</xdr:col>
      <xdr:colOff>542924</xdr:colOff>
      <xdr:row>33</xdr:row>
      <xdr:rowOff>161925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F79777C-E950-44FB-A0DF-3DCB854D3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47625</xdr:colOff>
      <xdr:row>1</xdr:row>
      <xdr:rowOff>66675</xdr:rowOff>
    </xdr:from>
    <xdr:to>
      <xdr:col>22</xdr:col>
      <xdr:colOff>466725</xdr:colOff>
      <xdr:row>15</xdr:row>
      <xdr:rowOff>142875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75FD7C0-8228-4401-84AD-DBD9A1BF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400050</xdr:colOff>
      <xdr:row>89</xdr:row>
      <xdr:rowOff>52387</xdr:rowOff>
    </xdr:from>
    <xdr:to>
      <xdr:col>10</xdr:col>
      <xdr:colOff>819150</xdr:colOff>
      <xdr:row>103</xdr:row>
      <xdr:rowOff>128587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AB2C979-FA18-779D-FDB9-A2894F4E8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790575</xdr:colOff>
      <xdr:row>16</xdr:row>
      <xdr:rowOff>128587</xdr:rowOff>
    </xdr:from>
    <xdr:to>
      <xdr:col>9</xdr:col>
      <xdr:colOff>171450</xdr:colOff>
      <xdr:row>31</xdr:row>
      <xdr:rowOff>14287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2129D8-3613-B956-2601-CF1CFF369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533400</xdr:colOff>
      <xdr:row>128</xdr:row>
      <xdr:rowOff>61912</xdr:rowOff>
    </xdr:from>
    <xdr:to>
      <xdr:col>50</xdr:col>
      <xdr:colOff>228600</xdr:colOff>
      <xdr:row>142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D55E33-CA62-BF0C-2EC3-B06C189C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76200</xdr:colOff>
      <xdr:row>2</xdr:row>
      <xdr:rowOff>166687</xdr:rowOff>
    </xdr:from>
    <xdr:to>
      <xdr:col>10</xdr:col>
      <xdr:colOff>828675</xdr:colOff>
      <xdr:row>11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99BF8-A1F3-28C5-3046-3E129BE32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10</xdr:col>
      <xdr:colOff>752475</xdr:colOff>
      <xdr:row>21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2677B9B-F55D-4940-9A3B-097575A4E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10</xdr:col>
      <xdr:colOff>752475</xdr:colOff>
      <xdr:row>31</xdr:row>
      <xdr:rowOff>138113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4EBC9FE-8FAF-4DC6-83FB-B9FB18222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32</xdr:row>
      <xdr:rowOff>0</xdr:rowOff>
    </xdr:from>
    <xdr:to>
      <xdr:col>10</xdr:col>
      <xdr:colOff>752475</xdr:colOff>
      <xdr:row>40</xdr:row>
      <xdr:rowOff>138113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7D353D8-F45D-4DF1-8BE0-D3BF109DE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</xdr:row>
      <xdr:rowOff>80962</xdr:rowOff>
    </xdr:from>
    <xdr:to>
      <xdr:col>7</xdr:col>
      <xdr:colOff>466725</xdr:colOff>
      <xdr:row>16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152C29-95B7-2D3C-FC0C-F843AD406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2</xdr:row>
      <xdr:rowOff>4762</xdr:rowOff>
    </xdr:from>
    <xdr:to>
      <xdr:col>15</xdr:col>
      <xdr:colOff>333375</xdr:colOff>
      <xdr:row>16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36B0E8-1BE5-6515-E0EB-DE68B1DC0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381000</xdr:colOff>
      <xdr:row>2</xdr:row>
      <xdr:rowOff>23812</xdr:rowOff>
    </xdr:from>
    <xdr:to>
      <xdr:col>23</xdr:col>
      <xdr:colOff>76200</xdr:colOff>
      <xdr:row>16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90EDFC-756A-4963-6024-13A3BA70DB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17</xdr:row>
      <xdr:rowOff>33337</xdr:rowOff>
    </xdr:from>
    <xdr:to>
      <xdr:col>7</xdr:col>
      <xdr:colOff>457200</xdr:colOff>
      <xdr:row>31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FA5634-82BA-A945-090D-041AB87CD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542925</xdr:colOff>
      <xdr:row>16</xdr:row>
      <xdr:rowOff>100012</xdr:rowOff>
    </xdr:from>
    <xdr:to>
      <xdr:col>15</xdr:col>
      <xdr:colOff>238125</xdr:colOff>
      <xdr:row>30</xdr:row>
      <xdr:rowOff>176212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6AA8E44-A404-EC11-8DFE-454AE47EF8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390525</xdr:colOff>
      <xdr:row>16</xdr:row>
      <xdr:rowOff>80962</xdr:rowOff>
    </xdr:from>
    <xdr:to>
      <xdr:col>23</xdr:col>
      <xdr:colOff>85725</xdr:colOff>
      <xdr:row>30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9C6A45-C9E3-2674-0748-D1A007206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590549</xdr:colOff>
      <xdr:row>3</xdr:row>
      <xdr:rowOff>161926</xdr:rowOff>
    </xdr:from>
    <xdr:to>
      <xdr:col>32</xdr:col>
      <xdr:colOff>180974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6F75E4-03D3-77CC-5A31-89386F9A94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390526</xdr:colOff>
      <xdr:row>32</xdr:row>
      <xdr:rowOff>142875</xdr:rowOff>
    </xdr:from>
    <xdr:to>
      <xdr:col>25</xdr:col>
      <xdr:colOff>133350</xdr:colOff>
      <xdr:row>48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37DF87A-490E-8E1E-926F-10851C015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95250</xdr:colOff>
      <xdr:row>20</xdr:row>
      <xdr:rowOff>19049</xdr:rowOff>
    </xdr:from>
    <xdr:to>
      <xdr:col>33</xdr:col>
      <xdr:colOff>38100</xdr:colOff>
      <xdr:row>34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5EC6353-466E-D015-5563-BA973B776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95249</xdr:colOff>
      <xdr:row>33</xdr:row>
      <xdr:rowOff>4762</xdr:rowOff>
    </xdr:from>
    <xdr:to>
      <xdr:col>15</xdr:col>
      <xdr:colOff>447674</xdr:colOff>
      <xdr:row>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3CD4D8-D99E-F364-18DE-5F2B6F975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247650</xdr:colOff>
      <xdr:row>35</xdr:row>
      <xdr:rowOff>38100</xdr:rowOff>
    </xdr:from>
    <xdr:to>
      <xdr:col>33</xdr:col>
      <xdr:colOff>552450</xdr:colOff>
      <xdr:row>52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D18FF11-07CE-1510-81B8-8DD554BEE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9</xdr:row>
      <xdr:rowOff>157162</xdr:rowOff>
    </xdr:from>
    <xdr:to>
      <xdr:col>9</xdr:col>
      <xdr:colOff>9525</xdr:colOff>
      <xdr:row>24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E178FE-00A3-D1A7-CA57-DF535919B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10</xdr:row>
      <xdr:rowOff>0</xdr:rowOff>
    </xdr:from>
    <xdr:to>
      <xdr:col>17</xdr:col>
      <xdr:colOff>304800</xdr:colOff>
      <xdr:row>24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C4B1C8-7AF9-444C-950C-927B79E64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25</xdr:col>
      <xdr:colOff>304800</xdr:colOff>
      <xdr:row>24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CD22CB-BCBF-4ABA-9868-B0A2D8BC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6</xdr:row>
      <xdr:rowOff>61912</xdr:rowOff>
    </xdr:from>
    <xdr:to>
      <xdr:col>24</xdr:col>
      <xdr:colOff>314325</xdr:colOff>
      <xdr:row>20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E49ED-31CE-6681-F5E5-7122E6B48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9BF9-781D-4231-ABCA-1907BC909898}">
  <sheetPr codeName="Sheet1"/>
  <dimension ref="A3:Q440"/>
  <sheetViews>
    <sheetView topLeftCell="A30" workbookViewId="0">
      <selection activeCell="C61" sqref="C61"/>
    </sheetView>
  </sheetViews>
  <sheetFormatPr defaultColWidth="19" defaultRowHeight="15" x14ac:dyDescent="0.25"/>
  <cols>
    <col min="7" max="7" width="20.140625" customWidth="1"/>
    <col min="13" max="13" width="21" bestFit="1" customWidth="1"/>
  </cols>
  <sheetData>
    <row r="3" spans="1:12" ht="18.75" x14ac:dyDescent="0.3">
      <c r="A3" s="4" t="s">
        <v>75</v>
      </c>
      <c r="B3" s="5"/>
    </row>
    <row r="4" spans="1:12" x14ac:dyDescent="0.25">
      <c r="A4" s="3"/>
      <c r="E4" s="98">
        <v>45778</v>
      </c>
      <c r="F4" s="3" t="s">
        <v>194</v>
      </c>
    </row>
    <row r="5" spans="1:12" x14ac:dyDescent="0.25">
      <c r="A5" s="15" t="s">
        <v>225</v>
      </c>
      <c r="B5" s="3" t="s">
        <v>53</v>
      </c>
      <c r="D5" s="58" t="s">
        <v>118</v>
      </c>
      <c r="E5" s="99">
        <f>E4-DATE(YEAR(E4),1,1)+1</f>
        <v>121</v>
      </c>
      <c r="F5" s="58" t="s">
        <v>119</v>
      </c>
      <c r="G5" s="58"/>
    </row>
    <row r="6" spans="1:12" x14ac:dyDescent="0.25">
      <c r="A6" s="15">
        <v>1</v>
      </c>
      <c r="B6" s="3" t="s">
        <v>70</v>
      </c>
    </row>
    <row r="7" spans="1:12" x14ac:dyDescent="0.25">
      <c r="A7" s="15" t="s">
        <v>58</v>
      </c>
      <c r="B7" s="3" t="s">
        <v>71</v>
      </c>
    </row>
    <row r="9" spans="1:12" x14ac:dyDescent="0.25">
      <c r="A9" s="12"/>
      <c r="B9" s="12"/>
      <c r="C9" s="12"/>
      <c r="D9" s="12" t="s">
        <v>9</v>
      </c>
      <c r="L9" s="77"/>
    </row>
    <row r="10" spans="1:12" x14ac:dyDescent="0.25">
      <c r="A10" s="13" t="s">
        <v>68</v>
      </c>
      <c r="B10" s="13" t="s">
        <v>6</v>
      </c>
      <c r="C10" s="13" t="s">
        <v>8</v>
      </c>
      <c r="D10" s="13" t="s">
        <v>10</v>
      </c>
    </row>
    <row r="11" spans="1:12" x14ac:dyDescent="0.25">
      <c r="A11" s="14" t="s">
        <v>69</v>
      </c>
      <c r="B11" s="14" t="s">
        <v>7</v>
      </c>
      <c r="C11" s="14" t="s">
        <v>57</v>
      </c>
      <c r="D11" s="14" t="s">
        <v>11</v>
      </c>
    </row>
    <row r="12" spans="1:12" x14ac:dyDescent="0.25">
      <c r="A12" s="19">
        <v>20</v>
      </c>
      <c r="B12" s="19" t="s">
        <v>55</v>
      </c>
      <c r="C12" s="19">
        <v>2</v>
      </c>
      <c r="D12" s="19">
        <v>0</v>
      </c>
      <c r="L12" s="77"/>
    </row>
    <row r="13" spans="1:12" x14ac:dyDescent="0.25">
      <c r="A13" s="16"/>
      <c r="B13" s="16" t="s">
        <v>56</v>
      </c>
      <c r="C13" s="16"/>
      <c r="D13" s="16"/>
    </row>
    <row r="15" spans="1:12" ht="18.75" x14ac:dyDescent="0.3">
      <c r="A15" s="4" t="s">
        <v>76</v>
      </c>
      <c r="B15" s="4"/>
      <c r="J15" s="39"/>
      <c r="K15" s="39"/>
    </row>
    <row r="17" spans="1:10" x14ac:dyDescent="0.25">
      <c r="A17" s="15">
        <v>3</v>
      </c>
      <c r="B17" s="3" t="s">
        <v>54</v>
      </c>
    </row>
    <row r="18" spans="1:10" ht="15.75" thickBot="1" x14ac:dyDescent="0.3">
      <c r="A18" s="3"/>
      <c r="B18" s="3"/>
      <c r="D18" s="73" t="s">
        <v>141</v>
      </c>
      <c r="E18" s="74"/>
      <c r="F18" s="75"/>
    </row>
    <row r="19" spans="1:10" ht="15.75" thickBot="1" x14ac:dyDescent="0.3">
      <c r="A19" s="12"/>
      <c r="B19" s="60"/>
      <c r="C19" s="36" t="s">
        <v>123</v>
      </c>
      <c r="D19" s="61"/>
      <c r="E19" s="12"/>
      <c r="F19" s="12"/>
      <c r="G19" s="12" t="s">
        <v>17</v>
      </c>
      <c r="H19" s="12" t="s">
        <v>20</v>
      </c>
      <c r="I19" s="12"/>
    </row>
    <row r="20" spans="1:10" x14ac:dyDescent="0.25">
      <c r="A20" s="13"/>
      <c r="B20" s="13"/>
      <c r="C20" s="59" t="s">
        <v>13</v>
      </c>
      <c r="D20" s="13"/>
      <c r="E20" s="13"/>
      <c r="F20" s="13"/>
      <c r="G20" s="13" t="s">
        <v>18</v>
      </c>
      <c r="H20" s="13" t="s">
        <v>21</v>
      </c>
      <c r="I20" s="13" t="s">
        <v>22</v>
      </c>
    </row>
    <row r="21" spans="1:10" x14ac:dyDescent="0.25">
      <c r="A21" s="13"/>
      <c r="B21" s="13"/>
      <c r="C21" s="59" t="s">
        <v>121</v>
      </c>
      <c r="D21" s="13"/>
      <c r="E21" s="13"/>
      <c r="F21" s="13"/>
      <c r="G21" s="13" t="s">
        <v>19</v>
      </c>
      <c r="H21" s="13" t="s">
        <v>19</v>
      </c>
      <c r="I21" s="13" t="s">
        <v>162</v>
      </c>
    </row>
    <row r="22" spans="1:10" x14ac:dyDescent="0.25">
      <c r="A22" s="14" t="s">
        <v>12</v>
      </c>
      <c r="B22" s="14" t="s">
        <v>13</v>
      </c>
      <c r="C22" s="38" t="s">
        <v>122</v>
      </c>
      <c r="D22" s="14" t="s">
        <v>14</v>
      </c>
      <c r="E22" s="14" t="s">
        <v>15</v>
      </c>
      <c r="F22" s="14" t="s">
        <v>16</v>
      </c>
      <c r="G22" s="14" t="s">
        <v>128</v>
      </c>
      <c r="H22" s="14" t="s">
        <v>128</v>
      </c>
      <c r="I22" s="14" t="s">
        <v>24</v>
      </c>
    </row>
    <row r="23" spans="1:10" x14ac:dyDescent="0.25">
      <c r="A23" s="9">
        <v>1</v>
      </c>
      <c r="B23" s="6">
        <v>0.28000000000000003</v>
      </c>
      <c r="C23" s="6">
        <f>ROUND(B23,1)</f>
        <v>0.3</v>
      </c>
      <c r="D23" s="6">
        <v>10</v>
      </c>
      <c r="E23" s="6">
        <v>25</v>
      </c>
      <c r="F23" s="6">
        <v>65</v>
      </c>
      <c r="G23" s="6">
        <v>0</v>
      </c>
      <c r="H23" s="6">
        <v>0</v>
      </c>
      <c r="I23" s="6">
        <v>1</v>
      </c>
    </row>
    <row r="24" spans="1:10" x14ac:dyDescent="0.25">
      <c r="A24" s="10">
        <v>2</v>
      </c>
      <c r="B24" s="7">
        <v>0.52</v>
      </c>
      <c r="C24" s="7">
        <f>ROUND(B24,1)</f>
        <v>0.5</v>
      </c>
      <c r="D24" s="7">
        <v>20</v>
      </c>
      <c r="E24" s="7">
        <v>30</v>
      </c>
      <c r="F24" s="7">
        <v>50</v>
      </c>
      <c r="G24" s="7">
        <v>0</v>
      </c>
      <c r="H24" s="7">
        <v>0</v>
      </c>
      <c r="I24" s="7">
        <v>0.8</v>
      </c>
    </row>
    <row r="25" spans="1:10" x14ac:dyDescent="0.25">
      <c r="A25" s="10">
        <v>3</v>
      </c>
      <c r="B25" s="7">
        <v>1.18</v>
      </c>
      <c r="C25" s="7">
        <f>ROUND(B25,1)</f>
        <v>1.2</v>
      </c>
      <c r="D25" s="7">
        <v>35</v>
      </c>
      <c r="E25" s="7">
        <v>45</v>
      </c>
      <c r="F25" s="7">
        <v>20</v>
      </c>
      <c r="G25" s="7">
        <v>0</v>
      </c>
      <c r="H25" s="7">
        <v>0</v>
      </c>
      <c r="I25" s="7">
        <v>0.5</v>
      </c>
    </row>
    <row r="26" spans="1:10" x14ac:dyDescent="0.25">
      <c r="A26" s="10">
        <v>4</v>
      </c>
      <c r="B26" s="7">
        <v>0</v>
      </c>
      <c r="C26" s="7">
        <f>ROUND(B26,1)</f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</row>
    <row r="27" spans="1:10" x14ac:dyDescent="0.25">
      <c r="A27" s="11">
        <v>5</v>
      </c>
      <c r="B27" s="8">
        <v>0</v>
      </c>
      <c r="C27" s="8">
        <f>ROUND(B27,1)</f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</row>
    <row r="28" spans="1:10" x14ac:dyDescent="0.25">
      <c r="C28" s="16"/>
    </row>
    <row r="29" spans="1:10" ht="18.75" x14ac:dyDescent="0.3">
      <c r="A29" s="4" t="s">
        <v>77</v>
      </c>
      <c r="B29" s="5"/>
    </row>
    <row r="30" spans="1:10" x14ac:dyDescent="0.25">
      <c r="J30" s="1"/>
    </row>
    <row r="31" spans="1:10" x14ac:dyDescent="0.25">
      <c r="A31" s="15">
        <v>1</v>
      </c>
      <c r="B31" s="3" t="s">
        <v>87</v>
      </c>
    </row>
    <row r="33" spans="1:14" ht="15.75" thickBot="1" x14ac:dyDescent="0.3">
      <c r="A33" s="12"/>
      <c r="B33" s="12"/>
      <c r="C33" s="12"/>
      <c r="D33" s="12"/>
      <c r="E33" s="12" t="s">
        <v>4</v>
      </c>
      <c r="F33" s="12"/>
      <c r="G33" s="12"/>
      <c r="H33" s="12" t="s">
        <v>59</v>
      </c>
    </row>
    <row r="34" spans="1:14" ht="15.75" thickBot="1" x14ac:dyDescent="0.3">
      <c r="A34" s="13"/>
      <c r="B34" s="13"/>
      <c r="C34" s="13"/>
      <c r="D34" s="13" t="s">
        <v>4</v>
      </c>
      <c r="E34" s="13" t="s">
        <v>28</v>
      </c>
      <c r="F34" s="13" t="s">
        <v>4</v>
      </c>
      <c r="G34" s="13" t="s">
        <v>4</v>
      </c>
      <c r="H34" s="13" t="s">
        <v>60</v>
      </c>
      <c r="I34" s="29" t="s">
        <v>82</v>
      </c>
      <c r="J34" s="29" t="s">
        <v>85</v>
      </c>
      <c r="K34" s="29" t="s">
        <v>82</v>
      </c>
      <c r="L34" s="29" t="s">
        <v>85</v>
      </c>
      <c r="M34" s="36" t="s">
        <v>82</v>
      </c>
      <c r="N34" s="36" t="s">
        <v>85</v>
      </c>
    </row>
    <row r="35" spans="1:14" ht="15.75" thickBot="1" x14ac:dyDescent="0.3">
      <c r="A35" s="13"/>
      <c r="B35" s="13" t="s">
        <v>2</v>
      </c>
      <c r="C35" s="13" t="s">
        <v>120</v>
      </c>
      <c r="D35" s="13" t="s">
        <v>26</v>
      </c>
      <c r="E35" s="13" t="s">
        <v>27</v>
      </c>
      <c r="F35" s="13" t="s">
        <v>5</v>
      </c>
      <c r="G35" s="13" t="s">
        <v>29</v>
      </c>
      <c r="H35" s="13" t="s">
        <v>61</v>
      </c>
      <c r="I35" s="25" t="s">
        <v>86</v>
      </c>
      <c r="J35" s="27"/>
      <c r="K35" s="26"/>
      <c r="L35" s="27"/>
      <c r="M35" s="28"/>
      <c r="N35" s="36" t="s">
        <v>85</v>
      </c>
    </row>
    <row r="36" spans="1:14" ht="15.75" thickBot="1" x14ac:dyDescent="0.3">
      <c r="A36" s="13"/>
      <c r="B36" s="13" t="s">
        <v>3</v>
      </c>
      <c r="C36" s="13" t="s">
        <v>3</v>
      </c>
      <c r="D36" s="13" t="s">
        <v>3</v>
      </c>
      <c r="E36" s="13" t="s">
        <v>3</v>
      </c>
      <c r="F36" s="13" t="s">
        <v>3</v>
      </c>
      <c r="G36" s="13" t="s">
        <v>3</v>
      </c>
      <c r="H36" s="13" t="s">
        <v>62</v>
      </c>
      <c r="I36" s="24"/>
      <c r="N36" s="23"/>
    </row>
    <row r="37" spans="1:14" ht="15.75" thickBot="1" x14ac:dyDescent="0.3">
      <c r="A37" s="14" t="s">
        <v>1</v>
      </c>
      <c r="B37" s="14" t="s">
        <v>25</v>
      </c>
      <c r="C37" s="14" t="s">
        <v>25</v>
      </c>
      <c r="D37" s="14" t="s">
        <v>25</v>
      </c>
      <c r="E37" s="14" t="s">
        <v>25</v>
      </c>
      <c r="F37" s="14" t="s">
        <v>25</v>
      </c>
      <c r="G37" s="14" t="s">
        <v>25</v>
      </c>
      <c r="H37" s="14" t="s">
        <v>32</v>
      </c>
      <c r="I37" s="30" t="s">
        <v>2</v>
      </c>
      <c r="J37" s="30" t="s">
        <v>120</v>
      </c>
      <c r="K37" s="31" t="s">
        <v>83</v>
      </c>
      <c r="L37" s="30" t="s">
        <v>84</v>
      </c>
      <c r="M37" s="30" t="s">
        <v>5</v>
      </c>
      <c r="N37" s="32" t="s">
        <v>29</v>
      </c>
    </row>
    <row r="38" spans="1:14" ht="15.75" thickBot="1" x14ac:dyDescent="0.3">
      <c r="A38" s="20" t="s">
        <v>169</v>
      </c>
      <c r="B38" s="22">
        <v>45792</v>
      </c>
      <c r="C38" s="22">
        <v>45802</v>
      </c>
      <c r="D38" s="22">
        <v>45853</v>
      </c>
      <c r="E38" s="22">
        <v>45884</v>
      </c>
      <c r="F38" s="22">
        <v>45915</v>
      </c>
      <c r="G38" s="22">
        <v>45925</v>
      </c>
      <c r="H38" s="21">
        <v>10000</v>
      </c>
      <c r="I38" s="33">
        <f t="shared" ref="I38" si="0">B38-DATE(YEAR(B38),1,1)+1</f>
        <v>135</v>
      </c>
      <c r="J38" s="33">
        <f t="shared" ref="J38" si="1">C38-DATE(YEAR(C38),1,1)+1</f>
        <v>145</v>
      </c>
      <c r="K38" s="34">
        <f t="shared" ref="K38" si="2">D38-DATE(YEAR(D38),1,1)+1</f>
        <v>196</v>
      </c>
      <c r="L38" s="34">
        <f t="shared" ref="L38" si="3">E38-DATE(YEAR(E38),1,1)+1</f>
        <v>227</v>
      </c>
      <c r="M38" s="34">
        <f t="shared" ref="M38" si="4">F38-DATE(YEAR(F38),1,1)+1</f>
        <v>258</v>
      </c>
      <c r="N38" s="35">
        <f t="shared" ref="N38" si="5">G38-DATE(YEAR(G38),1,1)+1</f>
        <v>268</v>
      </c>
    </row>
    <row r="39" spans="1:14" ht="15.75" thickBot="1" x14ac:dyDescent="0.3">
      <c r="A39" s="20"/>
      <c r="B39" s="22"/>
      <c r="C39" s="22"/>
      <c r="D39" s="22"/>
      <c r="E39" s="22"/>
      <c r="F39" s="22"/>
      <c r="G39" s="22"/>
      <c r="H39" s="21"/>
      <c r="I39" s="33"/>
      <c r="J39" s="33"/>
      <c r="K39" s="34"/>
      <c r="L39" s="34"/>
      <c r="M39" s="34"/>
      <c r="N39" s="35"/>
    </row>
    <row r="41" spans="1:14" ht="18.75" x14ac:dyDescent="0.3">
      <c r="A41" s="4" t="s">
        <v>30</v>
      </c>
      <c r="B41" s="5"/>
    </row>
    <row r="43" spans="1:14" x14ac:dyDescent="0.25">
      <c r="A43" s="12" t="s">
        <v>51</v>
      </c>
      <c r="B43" s="37" t="s">
        <v>82</v>
      </c>
      <c r="C43" s="12"/>
      <c r="D43" s="12" t="s">
        <v>66</v>
      </c>
      <c r="E43" s="12" t="s">
        <v>143</v>
      </c>
      <c r="F43" s="12" t="s">
        <v>144</v>
      </c>
      <c r="G43" s="12" t="s">
        <v>145</v>
      </c>
      <c r="H43" s="12" t="s">
        <v>74</v>
      </c>
      <c r="I43" s="12" t="s">
        <v>65</v>
      </c>
      <c r="J43" s="12" t="s">
        <v>36</v>
      </c>
      <c r="K43" s="12" t="s">
        <v>36</v>
      </c>
      <c r="L43" s="12"/>
    </row>
    <row r="44" spans="1:14" x14ac:dyDescent="0.25">
      <c r="A44" s="13" t="s">
        <v>3</v>
      </c>
      <c r="B44" s="38" t="s">
        <v>89</v>
      </c>
      <c r="C44" s="13"/>
      <c r="D44" s="13" t="s">
        <v>64</v>
      </c>
      <c r="E44" s="13" t="s">
        <v>146</v>
      </c>
      <c r="F44" s="13" t="s">
        <v>146</v>
      </c>
      <c r="G44" s="13" t="s">
        <v>146</v>
      </c>
      <c r="H44" s="13" t="s">
        <v>73</v>
      </c>
      <c r="I44" s="13" t="s">
        <v>64</v>
      </c>
      <c r="J44" s="13" t="s">
        <v>23</v>
      </c>
      <c r="K44" s="13" t="s">
        <v>37</v>
      </c>
      <c r="L44" s="13" t="s">
        <v>31</v>
      </c>
    </row>
    <row r="45" spans="1:14" x14ac:dyDescent="0.25">
      <c r="A45" s="14" t="s">
        <v>25</v>
      </c>
      <c r="B45" s="43" t="s">
        <v>88</v>
      </c>
      <c r="C45" s="14" t="s">
        <v>81</v>
      </c>
      <c r="D45" s="14" t="s">
        <v>32</v>
      </c>
      <c r="E45" s="14" t="s">
        <v>34</v>
      </c>
      <c r="F45" s="14" t="s">
        <v>34</v>
      </c>
      <c r="G45" s="14" t="s">
        <v>34</v>
      </c>
      <c r="H45" s="14" t="s">
        <v>0</v>
      </c>
      <c r="I45" s="14" t="s">
        <v>32</v>
      </c>
      <c r="J45" s="14" t="s">
        <v>34</v>
      </c>
      <c r="K45" s="14" t="s">
        <v>34</v>
      </c>
      <c r="L45" s="14" t="s">
        <v>35</v>
      </c>
    </row>
    <row r="46" spans="1:14" x14ac:dyDescent="0.25">
      <c r="A46" s="17">
        <v>45787</v>
      </c>
      <c r="B46" s="7">
        <f>A46-DATE(YEAR(A46),1,1)+1</f>
        <v>130</v>
      </c>
      <c r="C46" s="42" t="s">
        <v>142</v>
      </c>
      <c r="D46" s="6">
        <v>300</v>
      </c>
      <c r="E46" s="6">
        <v>100</v>
      </c>
      <c r="F46" s="6"/>
      <c r="G46" s="6"/>
      <c r="H46" s="6"/>
      <c r="I46" s="6"/>
      <c r="J46" s="6"/>
      <c r="K46" s="6"/>
      <c r="L46" s="6">
        <v>2</v>
      </c>
    </row>
    <row r="47" spans="1:14" x14ac:dyDescent="0.25">
      <c r="A47" s="18"/>
      <c r="B47" s="7"/>
      <c r="C47" s="42"/>
      <c r="D47" s="7"/>
      <c r="E47" s="7"/>
      <c r="F47" s="7"/>
      <c r="G47" s="7"/>
      <c r="H47" s="7"/>
      <c r="I47" s="7"/>
      <c r="J47" s="7"/>
      <c r="K47" s="7"/>
      <c r="L47" s="7">
        <v>2</v>
      </c>
    </row>
    <row r="48" spans="1:14" x14ac:dyDescent="0.25">
      <c r="A48" s="18"/>
      <c r="B48" s="7"/>
      <c r="C48" s="42"/>
      <c r="D48" s="7"/>
      <c r="E48" s="7"/>
      <c r="F48" s="7"/>
      <c r="G48" s="7"/>
      <c r="H48" s="7"/>
      <c r="I48" s="7"/>
      <c r="J48" s="7"/>
      <c r="K48" s="7"/>
      <c r="L48" s="7"/>
    </row>
    <row r="49" spans="1:17" x14ac:dyDescent="0.25">
      <c r="A49" s="7"/>
      <c r="B49" s="7"/>
      <c r="C49" s="42"/>
      <c r="D49" s="7"/>
      <c r="E49" s="7"/>
      <c r="F49" s="7"/>
      <c r="G49" s="7"/>
      <c r="H49" s="7"/>
      <c r="I49" s="7"/>
      <c r="J49" s="7"/>
      <c r="K49" s="7"/>
      <c r="L49" s="7"/>
    </row>
    <row r="50" spans="1:17" x14ac:dyDescent="0.25">
      <c r="A50" s="8"/>
      <c r="B50" s="8"/>
      <c r="C50" s="44"/>
      <c r="D50" s="8"/>
      <c r="E50" s="8"/>
      <c r="F50" s="8"/>
      <c r="G50" s="8"/>
      <c r="H50" s="8"/>
      <c r="I50" s="8"/>
      <c r="J50" s="8"/>
      <c r="K50" s="8"/>
      <c r="L50" s="8"/>
    </row>
    <row r="51" spans="1:17" x14ac:dyDescent="0.25">
      <c r="G51" t="s">
        <v>67</v>
      </c>
    </row>
    <row r="52" spans="1:17" ht="15.75" thickBot="1" x14ac:dyDescent="0.3"/>
    <row r="53" spans="1:17" ht="19.5" thickBot="1" x14ac:dyDescent="0.35">
      <c r="A53" s="4" t="s">
        <v>79</v>
      </c>
      <c r="E53" s="101"/>
      <c r="F53" s="102"/>
      <c r="G53" s="102" t="s">
        <v>167</v>
      </c>
      <c r="H53" s="103"/>
      <c r="I53" s="103"/>
      <c r="J53" s="103"/>
      <c r="K53" s="104"/>
      <c r="P53" s="3"/>
      <c r="Q53" s="3"/>
    </row>
    <row r="54" spans="1:17" ht="15.75" thickBot="1" x14ac:dyDescent="0.3">
      <c r="D54" s="39"/>
      <c r="E54" s="109" t="s">
        <v>209</v>
      </c>
      <c r="F54" s="110"/>
      <c r="G54" s="110"/>
      <c r="H54" s="110"/>
      <c r="I54" s="110"/>
      <c r="J54" s="110"/>
      <c r="K54" s="111"/>
    </row>
    <row r="55" spans="1:17" ht="15.75" thickBot="1" x14ac:dyDescent="0.3">
      <c r="A55" s="12" t="s">
        <v>6</v>
      </c>
      <c r="B55" s="37" t="s">
        <v>82</v>
      </c>
      <c r="C55" s="12" t="s">
        <v>72</v>
      </c>
      <c r="E55" s="30" t="s">
        <v>189</v>
      </c>
      <c r="F55" s="30">
        <v>4</v>
      </c>
      <c r="G55" s="30" t="s">
        <v>195</v>
      </c>
      <c r="H55" s="30" t="s">
        <v>7</v>
      </c>
      <c r="I55" s="30" t="s">
        <v>185</v>
      </c>
      <c r="J55" s="30" t="s">
        <v>185</v>
      </c>
      <c r="K55" s="80" t="s">
        <v>192</v>
      </c>
      <c r="L55" s="95"/>
    </row>
    <row r="56" spans="1:17" ht="15.75" thickBot="1" x14ac:dyDescent="0.3">
      <c r="A56" s="13" t="s">
        <v>3</v>
      </c>
      <c r="B56" s="38" t="s">
        <v>89</v>
      </c>
      <c r="C56" s="13" t="s">
        <v>80</v>
      </c>
      <c r="E56" s="30" t="s">
        <v>3</v>
      </c>
      <c r="F56" s="36" t="s">
        <v>88</v>
      </c>
      <c r="G56" s="30" t="s">
        <v>190</v>
      </c>
      <c r="H56" s="30" t="s">
        <v>186</v>
      </c>
      <c r="I56" s="30" t="s">
        <v>196</v>
      </c>
      <c r="J56" s="30" t="s">
        <v>197</v>
      </c>
      <c r="K56" s="79" t="s">
        <v>193</v>
      </c>
      <c r="L56" s="97" t="s">
        <v>208</v>
      </c>
    </row>
    <row r="57" spans="1:17" x14ac:dyDescent="0.25">
      <c r="A57" s="14" t="s">
        <v>25</v>
      </c>
      <c r="B57" s="43" t="s">
        <v>88</v>
      </c>
      <c r="C57" s="14" t="s">
        <v>48</v>
      </c>
      <c r="E57" s="93">
        <v>45791</v>
      </c>
      <c r="F57" s="95">
        <f>E57-DATE(YEAR(E57),1,1)+1</f>
        <v>134</v>
      </c>
      <c r="G57" s="105" t="s">
        <v>187</v>
      </c>
      <c r="H57" s="105">
        <v>1</v>
      </c>
      <c r="I57" s="105">
        <v>0.5</v>
      </c>
      <c r="J57" s="105"/>
      <c r="K57" s="105"/>
      <c r="L57" s="105">
        <v>1</v>
      </c>
    </row>
    <row r="58" spans="1:17" x14ac:dyDescent="0.25">
      <c r="A58" s="40">
        <v>45786</v>
      </c>
      <c r="B58" s="7">
        <f>A58-DATE(YEAR(A58),1,1)+1</f>
        <v>129</v>
      </c>
      <c r="C58" s="41">
        <v>50</v>
      </c>
      <c r="E58" s="94">
        <v>45915</v>
      </c>
      <c r="F58" s="96">
        <f>E58-DATE(YEAR(E58),1,1)+1</f>
        <v>258</v>
      </c>
      <c r="G58" s="106" t="s">
        <v>188</v>
      </c>
      <c r="H58" s="106"/>
      <c r="I58" s="106"/>
      <c r="J58" s="106"/>
      <c r="K58" s="106"/>
      <c r="L58" s="106">
        <v>1</v>
      </c>
    </row>
    <row r="59" spans="1:17" x14ac:dyDescent="0.25">
      <c r="A59" s="18"/>
      <c r="B59" s="7"/>
      <c r="C59" s="7"/>
      <c r="E59" s="94"/>
      <c r="F59" s="96">
        <f>E59-DATE(YEAR(E59),1,1)+1</f>
        <v>0</v>
      </c>
      <c r="G59" s="106"/>
      <c r="H59" s="106"/>
      <c r="I59" s="106"/>
      <c r="J59" s="106"/>
      <c r="K59" s="106"/>
      <c r="L59" s="106"/>
    </row>
    <row r="60" spans="1:17" x14ac:dyDescent="0.25">
      <c r="A60" s="1"/>
      <c r="B60" s="7"/>
      <c r="C60" s="7"/>
      <c r="E60" s="94"/>
      <c r="F60" s="96">
        <f>E60-DATE(YEAR(E60),1,1)+1</f>
        <v>0</v>
      </c>
      <c r="G60" s="106"/>
      <c r="H60" s="106"/>
      <c r="I60" s="106"/>
      <c r="J60" s="106"/>
      <c r="K60" s="106"/>
      <c r="L60" s="106"/>
    </row>
    <row r="61" spans="1:17" x14ac:dyDescent="0.25">
      <c r="A61" s="18"/>
      <c r="B61" s="7"/>
      <c r="C61" s="7"/>
      <c r="E61" s="108"/>
      <c r="F61" s="96">
        <f t="shared" ref="F61" si="6">E61-DATE(YEAR(E61),1,1)+1</f>
        <v>0</v>
      </c>
      <c r="G61" s="106"/>
      <c r="H61" s="106"/>
      <c r="I61" s="106"/>
      <c r="J61" s="106"/>
      <c r="K61" s="106"/>
      <c r="L61" s="108"/>
    </row>
    <row r="62" spans="1:17" x14ac:dyDescent="0.25">
      <c r="A62" s="18"/>
      <c r="B62" s="7"/>
      <c r="C62" s="7"/>
      <c r="E62" s="108"/>
      <c r="F62" s="96">
        <f t="shared" ref="F62:F63" si="7">E62-DATE(YEAR(E62),1,1)+1</f>
        <v>0</v>
      </c>
      <c r="G62" s="106"/>
      <c r="H62" s="106"/>
      <c r="I62" s="106"/>
      <c r="J62" s="106"/>
      <c r="K62" s="106"/>
      <c r="L62" s="108"/>
    </row>
    <row r="63" spans="1:17" ht="15.75" thickBot="1" x14ac:dyDescent="0.3">
      <c r="A63" s="18"/>
      <c r="B63" s="7"/>
      <c r="C63" s="7"/>
      <c r="E63" s="100"/>
      <c r="F63" s="97">
        <f t="shared" si="7"/>
        <v>0</v>
      </c>
      <c r="G63" s="107"/>
      <c r="H63" s="107"/>
      <c r="I63" s="107"/>
      <c r="J63" s="107"/>
      <c r="K63" s="107"/>
      <c r="L63" s="100"/>
    </row>
    <row r="64" spans="1:17" x14ac:dyDescent="0.25">
      <c r="A64" s="18"/>
      <c r="B64" s="7"/>
      <c r="C64" s="7"/>
      <c r="E64" s="3" t="s">
        <v>199</v>
      </c>
    </row>
    <row r="65" spans="1:10" x14ac:dyDescent="0.25">
      <c r="A65" s="18"/>
      <c r="B65" s="7"/>
      <c r="C65" s="7"/>
      <c r="E65" s="92" t="s">
        <v>191</v>
      </c>
      <c r="F65" t="s">
        <v>206</v>
      </c>
    </row>
    <row r="66" spans="1:10" x14ac:dyDescent="0.25">
      <c r="A66" s="91"/>
      <c r="B66" s="8"/>
      <c r="C66" s="8"/>
      <c r="E66" s="92" t="s">
        <v>187</v>
      </c>
      <c r="F66" t="s">
        <v>198</v>
      </c>
    </row>
    <row r="67" spans="1:10" x14ac:dyDescent="0.25">
      <c r="E67" s="92" t="s">
        <v>188</v>
      </c>
      <c r="F67" t="s">
        <v>207</v>
      </c>
    </row>
    <row r="69" spans="1:10" ht="18.75" x14ac:dyDescent="0.3">
      <c r="A69" s="4" t="s">
        <v>78</v>
      </c>
    </row>
    <row r="71" spans="1:10" x14ac:dyDescent="0.25">
      <c r="A71" s="12"/>
      <c r="B71" s="37" t="s">
        <v>82</v>
      </c>
      <c r="C71" s="12" t="s">
        <v>43</v>
      </c>
      <c r="D71" s="12" t="s">
        <v>38</v>
      </c>
      <c r="E71" s="12" t="s">
        <v>41</v>
      </c>
      <c r="F71" s="12" t="s">
        <v>38</v>
      </c>
      <c r="G71" s="12" t="s">
        <v>41</v>
      </c>
      <c r="H71" s="12"/>
      <c r="I71" s="12"/>
      <c r="J71" s="12" t="s">
        <v>49</v>
      </c>
    </row>
    <row r="72" spans="1:10" x14ac:dyDescent="0.25">
      <c r="A72" s="13" t="s">
        <v>3</v>
      </c>
      <c r="B72" s="38" t="s">
        <v>89</v>
      </c>
      <c r="C72" s="13" t="s">
        <v>44</v>
      </c>
      <c r="D72" s="13" t="s">
        <v>39</v>
      </c>
      <c r="E72" s="13" t="s">
        <v>39</v>
      </c>
      <c r="F72" s="13" t="s">
        <v>42</v>
      </c>
      <c r="G72" s="13" t="s">
        <v>42</v>
      </c>
      <c r="H72" s="13" t="s">
        <v>45</v>
      </c>
      <c r="I72" s="13" t="s">
        <v>47</v>
      </c>
      <c r="J72" s="13" t="s">
        <v>50</v>
      </c>
    </row>
    <row r="73" spans="1:10" ht="15" customHeight="1" x14ac:dyDescent="0.25">
      <c r="A73" s="14" t="s">
        <v>25</v>
      </c>
      <c r="B73" s="43" t="s">
        <v>88</v>
      </c>
      <c r="C73" s="14" t="s">
        <v>52</v>
      </c>
      <c r="D73" s="14" t="s">
        <v>40</v>
      </c>
      <c r="E73" s="14" t="s">
        <v>40</v>
      </c>
      <c r="F73" s="14" t="s">
        <v>24</v>
      </c>
      <c r="G73" s="14" t="s">
        <v>24</v>
      </c>
      <c r="H73" s="14" t="s">
        <v>46</v>
      </c>
      <c r="I73" s="14" t="s">
        <v>48</v>
      </c>
      <c r="J73" s="14" t="s">
        <v>48</v>
      </c>
    </row>
    <row r="74" spans="1:10" x14ac:dyDescent="0.25">
      <c r="A74" s="1">
        <v>45658</v>
      </c>
      <c r="B74">
        <f>A74-DATE(YEAR(A74),1,1)+1</f>
        <v>1</v>
      </c>
      <c r="C74">
        <v>5.33</v>
      </c>
      <c r="D74">
        <v>13.68</v>
      </c>
      <c r="E74">
        <v>1.34</v>
      </c>
      <c r="F74" s="2">
        <v>100</v>
      </c>
      <c r="G74" s="2">
        <v>65.676476961228985</v>
      </c>
      <c r="H74">
        <v>2.21</v>
      </c>
      <c r="I74">
        <v>7.62</v>
      </c>
      <c r="J74" s="2">
        <v>0.19038074653209075</v>
      </c>
    </row>
    <row r="75" spans="1:10" x14ac:dyDescent="0.25">
      <c r="A75" s="1">
        <v>45659</v>
      </c>
      <c r="B75">
        <f t="shared" ref="B75:B138" si="8">A75-DATE(YEAR(A75),1,1)+1</f>
        <v>2</v>
      </c>
      <c r="C75">
        <v>3.48</v>
      </c>
      <c r="D75">
        <v>11.16</v>
      </c>
      <c r="E75">
        <v>2.62</v>
      </c>
      <c r="F75" s="2">
        <v>89.681265573937424</v>
      </c>
      <c r="G75" s="2">
        <v>77.878069991500851</v>
      </c>
      <c r="H75">
        <v>1.6</v>
      </c>
      <c r="I75">
        <v>1.52</v>
      </c>
      <c r="J75" s="2">
        <v>0.19959449686416847</v>
      </c>
    </row>
    <row r="76" spans="1:10" x14ac:dyDescent="0.25">
      <c r="A76" s="1">
        <v>45660</v>
      </c>
      <c r="B76">
        <f t="shared" si="8"/>
        <v>3</v>
      </c>
      <c r="C76">
        <v>6.39</v>
      </c>
      <c r="D76">
        <v>9.3800000000000008</v>
      </c>
      <c r="E76">
        <v>-0.9</v>
      </c>
      <c r="F76" s="2">
        <v>90.657298010260348</v>
      </c>
      <c r="G76" s="2">
        <v>68.223413001918104</v>
      </c>
      <c r="H76">
        <v>1.46</v>
      </c>
      <c r="I76">
        <v>0</v>
      </c>
      <c r="J76" s="2">
        <v>0</v>
      </c>
    </row>
    <row r="77" spans="1:10" x14ac:dyDescent="0.25">
      <c r="A77" s="1">
        <v>45661</v>
      </c>
      <c r="B77">
        <f t="shared" si="8"/>
        <v>4</v>
      </c>
      <c r="C77">
        <v>6.33</v>
      </c>
      <c r="D77">
        <v>5.2</v>
      </c>
      <c r="E77">
        <v>-3.31</v>
      </c>
      <c r="F77" s="2">
        <v>97.703336364255094</v>
      </c>
      <c r="G77" s="2">
        <v>71.500675035617462</v>
      </c>
      <c r="H77">
        <v>0.56999999999999995</v>
      </c>
      <c r="I77">
        <v>0</v>
      </c>
      <c r="J77" s="2">
        <v>0</v>
      </c>
    </row>
    <row r="78" spans="1:10" x14ac:dyDescent="0.25">
      <c r="A78" s="1">
        <v>45662</v>
      </c>
      <c r="B78">
        <f t="shared" si="8"/>
        <v>5</v>
      </c>
      <c r="C78">
        <v>4.03</v>
      </c>
      <c r="D78">
        <v>4.46</v>
      </c>
      <c r="E78">
        <v>-3.12</v>
      </c>
      <c r="F78" s="2">
        <v>97.92686798912041</v>
      </c>
      <c r="G78" s="2">
        <v>74.15814305849706</v>
      </c>
      <c r="H78">
        <v>0.43</v>
      </c>
      <c r="I78">
        <v>0</v>
      </c>
      <c r="J78" s="2">
        <v>0</v>
      </c>
    </row>
    <row r="79" spans="1:10" x14ac:dyDescent="0.25">
      <c r="A79" s="1">
        <v>45663</v>
      </c>
      <c r="B79">
        <f t="shared" si="8"/>
        <v>6</v>
      </c>
      <c r="C79">
        <v>3.67</v>
      </c>
      <c r="D79">
        <v>6.45</v>
      </c>
      <c r="E79">
        <v>-2.69</v>
      </c>
      <c r="F79" s="2">
        <v>98.814975695987243</v>
      </c>
      <c r="G79" s="2">
        <v>78.833082294599706</v>
      </c>
      <c r="H79">
        <v>0.96</v>
      </c>
      <c r="I79">
        <v>0</v>
      </c>
      <c r="J79" s="2">
        <v>4.4097615333374973E-2</v>
      </c>
    </row>
    <row r="80" spans="1:10" x14ac:dyDescent="0.25">
      <c r="A80" s="1">
        <v>45664</v>
      </c>
      <c r="B80">
        <f t="shared" si="8"/>
        <v>7</v>
      </c>
      <c r="C80">
        <v>3.3</v>
      </c>
      <c r="D80">
        <v>10</v>
      </c>
      <c r="E80">
        <v>2.57</v>
      </c>
      <c r="F80" s="2">
        <v>91.11039516272001</v>
      </c>
      <c r="G80" s="2">
        <v>70.987684960441996</v>
      </c>
      <c r="H80">
        <v>0.99</v>
      </c>
      <c r="I80">
        <v>0</v>
      </c>
      <c r="J80" s="2">
        <v>0.18424611806020963</v>
      </c>
    </row>
    <row r="81" spans="1:10" x14ac:dyDescent="0.25">
      <c r="A81" s="1">
        <v>45665</v>
      </c>
      <c r="B81">
        <f t="shared" si="8"/>
        <v>8</v>
      </c>
      <c r="C81">
        <v>3.34</v>
      </c>
      <c r="D81">
        <v>9.67</v>
      </c>
      <c r="E81">
        <v>0.76</v>
      </c>
      <c r="F81" s="2">
        <v>91.58104151388487</v>
      </c>
      <c r="G81" s="2">
        <v>66.764076758721018</v>
      </c>
      <c r="H81">
        <v>0.75</v>
      </c>
      <c r="I81">
        <v>0</v>
      </c>
      <c r="J81" s="2">
        <v>0.15241551719762989</v>
      </c>
    </row>
    <row r="82" spans="1:10" x14ac:dyDescent="0.25">
      <c r="A82" s="1">
        <v>45666</v>
      </c>
      <c r="B82">
        <f t="shared" si="8"/>
        <v>9</v>
      </c>
      <c r="C82">
        <v>2.46</v>
      </c>
      <c r="D82">
        <v>6.7</v>
      </c>
      <c r="E82">
        <v>-1.04</v>
      </c>
      <c r="F82" s="2">
        <v>98.396270933106365</v>
      </c>
      <c r="G82" s="2">
        <v>93.127488142712636</v>
      </c>
      <c r="H82">
        <v>0.79</v>
      </c>
      <c r="I82">
        <v>0.25</v>
      </c>
      <c r="J82" s="2">
        <v>0.12563066761572289</v>
      </c>
    </row>
    <row r="83" spans="1:10" x14ac:dyDescent="0.25">
      <c r="A83" s="1">
        <v>45667</v>
      </c>
      <c r="B83">
        <f t="shared" si="8"/>
        <v>10</v>
      </c>
      <c r="C83">
        <v>6.91</v>
      </c>
      <c r="D83">
        <v>11.82</v>
      </c>
      <c r="E83">
        <v>-1.33</v>
      </c>
      <c r="F83" s="2">
        <v>98.901380527324307</v>
      </c>
      <c r="G83" s="2">
        <v>72.433029477059264</v>
      </c>
      <c r="H83">
        <v>0.77</v>
      </c>
      <c r="I83">
        <v>0</v>
      </c>
      <c r="J83" s="2">
        <v>0</v>
      </c>
    </row>
    <row r="84" spans="1:10" x14ac:dyDescent="0.25">
      <c r="A84" s="1">
        <v>45668</v>
      </c>
      <c r="B84">
        <f t="shared" si="8"/>
        <v>11</v>
      </c>
      <c r="C84">
        <v>4.51</v>
      </c>
      <c r="D84">
        <v>6</v>
      </c>
      <c r="E84">
        <v>-2.56</v>
      </c>
      <c r="F84" s="2">
        <v>43.297940890283705</v>
      </c>
      <c r="G84" s="2">
        <v>85.934476692754231</v>
      </c>
      <c r="H84">
        <v>2.4900000000000002</v>
      </c>
      <c r="I84">
        <v>0</v>
      </c>
      <c r="J84" s="2">
        <v>0.40677793164700193</v>
      </c>
    </row>
    <row r="85" spans="1:10" x14ac:dyDescent="0.25">
      <c r="A85" s="1">
        <v>45669</v>
      </c>
      <c r="B85">
        <f t="shared" si="8"/>
        <v>12</v>
      </c>
      <c r="C85">
        <v>7.6</v>
      </c>
      <c r="D85">
        <v>0.21</v>
      </c>
      <c r="E85">
        <v>-5.07</v>
      </c>
      <c r="F85" s="2">
        <v>42.534043361208582</v>
      </c>
      <c r="G85" s="2">
        <v>47.212933900148464</v>
      </c>
      <c r="H85">
        <v>6.18</v>
      </c>
      <c r="I85">
        <v>0</v>
      </c>
      <c r="J85" s="2">
        <v>1.1056055015131072</v>
      </c>
    </row>
    <row r="86" spans="1:10" x14ac:dyDescent="0.25">
      <c r="A86" s="1">
        <v>45670</v>
      </c>
      <c r="B86">
        <f t="shared" si="8"/>
        <v>13</v>
      </c>
      <c r="C86">
        <v>7.6</v>
      </c>
      <c r="D86">
        <v>0.04</v>
      </c>
      <c r="E86">
        <v>-9.02</v>
      </c>
      <c r="F86" s="2">
        <v>63.774463090285472</v>
      </c>
      <c r="G86" s="2">
        <v>49.606902628290385</v>
      </c>
      <c r="H86">
        <v>1.05</v>
      </c>
      <c r="I86">
        <v>0</v>
      </c>
      <c r="J86" s="2">
        <v>0</v>
      </c>
    </row>
    <row r="87" spans="1:10" x14ac:dyDescent="0.25">
      <c r="A87" s="1">
        <v>45671</v>
      </c>
      <c r="B87">
        <f t="shared" si="8"/>
        <v>14</v>
      </c>
      <c r="C87">
        <v>7.66</v>
      </c>
      <c r="D87">
        <v>-0.73</v>
      </c>
      <c r="E87">
        <v>-10.5</v>
      </c>
      <c r="F87" s="2">
        <v>87.243708189157516</v>
      </c>
      <c r="G87" s="2">
        <v>61.535742028947695</v>
      </c>
      <c r="H87">
        <v>0.47</v>
      </c>
      <c r="I87">
        <v>0</v>
      </c>
      <c r="J87" s="2">
        <v>0</v>
      </c>
    </row>
    <row r="88" spans="1:10" x14ac:dyDescent="0.25">
      <c r="A88" s="1">
        <v>45672</v>
      </c>
      <c r="B88">
        <f t="shared" si="8"/>
        <v>15</v>
      </c>
      <c r="C88">
        <v>7.22</v>
      </c>
      <c r="D88">
        <v>-1.06</v>
      </c>
      <c r="E88">
        <v>-11.5</v>
      </c>
      <c r="F88" s="2">
        <v>91.498312540995428</v>
      </c>
      <c r="G88" s="2">
        <v>64.571636196249614</v>
      </c>
      <c r="H88">
        <v>0.6</v>
      </c>
      <c r="I88">
        <v>0</v>
      </c>
      <c r="J88" s="2">
        <v>0</v>
      </c>
    </row>
    <row r="89" spans="1:10" x14ac:dyDescent="0.25">
      <c r="A89" s="1">
        <v>45673</v>
      </c>
      <c r="B89">
        <f t="shared" si="8"/>
        <v>16</v>
      </c>
      <c r="C89">
        <v>4.6399999999999997</v>
      </c>
      <c r="D89">
        <v>-2.58</v>
      </c>
      <c r="E89">
        <v>-10.4</v>
      </c>
      <c r="F89" s="2">
        <v>91.577170240147737</v>
      </c>
      <c r="G89" s="2">
        <v>85.417402770128817</v>
      </c>
      <c r="H89">
        <v>0.8</v>
      </c>
      <c r="I89">
        <v>0</v>
      </c>
      <c r="J89" s="2">
        <v>1.2162387248543911E-2</v>
      </c>
    </row>
    <row r="90" spans="1:10" x14ac:dyDescent="0.25">
      <c r="A90" s="1">
        <v>45674</v>
      </c>
      <c r="B90">
        <f t="shared" si="8"/>
        <v>17</v>
      </c>
      <c r="C90">
        <v>1.9</v>
      </c>
      <c r="D90">
        <v>-0.54</v>
      </c>
      <c r="E90">
        <v>-4.33</v>
      </c>
      <c r="F90" s="2">
        <v>97.461761876454958</v>
      </c>
      <c r="G90" s="2">
        <v>99.92691420007867</v>
      </c>
      <c r="H90">
        <v>0.56000000000000005</v>
      </c>
      <c r="I90">
        <v>1.02</v>
      </c>
      <c r="J90" s="2">
        <v>0.16409978361833891</v>
      </c>
    </row>
    <row r="91" spans="1:10" x14ac:dyDescent="0.25">
      <c r="A91" s="1">
        <v>45675</v>
      </c>
      <c r="B91">
        <f t="shared" si="8"/>
        <v>18</v>
      </c>
      <c r="C91">
        <v>2.96</v>
      </c>
      <c r="D91">
        <v>0.37</v>
      </c>
      <c r="E91">
        <v>-0.8</v>
      </c>
      <c r="F91" s="2">
        <v>100</v>
      </c>
      <c r="G91" s="2">
        <v>100</v>
      </c>
      <c r="H91">
        <v>0.33</v>
      </c>
      <c r="I91">
        <v>1.02</v>
      </c>
      <c r="J91" s="2">
        <v>0.102649320844522</v>
      </c>
    </row>
    <row r="92" spans="1:10" x14ac:dyDescent="0.25">
      <c r="A92" s="1">
        <v>45676</v>
      </c>
      <c r="B92">
        <f t="shared" si="8"/>
        <v>19</v>
      </c>
      <c r="C92">
        <v>2.14</v>
      </c>
      <c r="D92">
        <v>0.77</v>
      </c>
      <c r="E92">
        <v>-0.5</v>
      </c>
      <c r="F92" s="2">
        <v>100</v>
      </c>
      <c r="G92" s="2">
        <v>100</v>
      </c>
      <c r="H92">
        <v>0.31</v>
      </c>
      <c r="I92">
        <v>2.79</v>
      </c>
      <c r="J92" s="2">
        <v>0.17656084298956798</v>
      </c>
    </row>
    <row r="93" spans="1:10" x14ac:dyDescent="0.25">
      <c r="A93" s="1">
        <v>45677</v>
      </c>
      <c r="B93">
        <f t="shared" si="8"/>
        <v>20</v>
      </c>
      <c r="C93">
        <v>2.1800000000000002</v>
      </c>
      <c r="D93">
        <v>0.86</v>
      </c>
      <c r="E93">
        <v>-1.94</v>
      </c>
      <c r="F93" s="2">
        <v>100</v>
      </c>
      <c r="G93" s="2">
        <v>100</v>
      </c>
      <c r="H93">
        <v>0.77</v>
      </c>
      <c r="I93">
        <v>2.54</v>
      </c>
      <c r="J93" s="2">
        <v>0.16395247633237664</v>
      </c>
    </row>
    <row r="94" spans="1:10" x14ac:dyDescent="0.25">
      <c r="A94" s="1">
        <v>45678</v>
      </c>
      <c r="B94">
        <f t="shared" si="8"/>
        <v>21</v>
      </c>
      <c r="C94">
        <v>4.34</v>
      </c>
      <c r="D94">
        <v>7.61</v>
      </c>
      <c r="E94">
        <v>-1.63</v>
      </c>
      <c r="F94" s="2">
        <v>100</v>
      </c>
      <c r="G94" s="2">
        <v>81.373929874689182</v>
      </c>
      <c r="H94">
        <v>0.74</v>
      </c>
      <c r="I94">
        <v>6.6</v>
      </c>
      <c r="J94" s="2">
        <v>0.11310507290847543</v>
      </c>
    </row>
    <row r="95" spans="1:10" x14ac:dyDescent="0.25">
      <c r="A95" s="1">
        <v>45679</v>
      </c>
      <c r="B95">
        <f t="shared" si="8"/>
        <v>22</v>
      </c>
      <c r="C95">
        <v>7.05</v>
      </c>
      <c r="D95">
        <v>9.17</v>
      </c>
      <c r="E95">
        <v>-4.09</v>
      </c>
      <c r="F95" s="2">
        <v>98.949987535566649</v>
      </c>
      <c r="G95" s="2">
        <v>66.747715297448039</v>
      </c>
      <c r="H95">
        <v>0.54</v>
      </c>
      <c r="I95">
        <v>0</v>
      </c>
      <c r="J95" s="2">
        <v>0</v>
      </c>
    </row>
    <row r="96" spans="1:10" x14ac:dyDescent="0.25">
      <c r="A96" s="1">
        <v>45680</v>
      </c>
      <c r="B96">
        <f t="shared" si="8"/>
        <v>23</v>
      </c>
      <c r="C96">
        <v>8.33</v>
      </c>
      <c r="D96">
        <v>7.48</v>
      </c>
      <c r="E96">
        <v>-2.09</v>
      </c>
      <c r="F96" s="2">
        <v>88.884548120272228</v>
      </c>
      <c r="G96" s="2">
        <v>64.442059519664625</v>
      </c>
      <c r="H96">
        <v>2.63</v>
      </c>
      <c r="I96">
        <v>0.25</v>
      </c>
      <c r="J96" s="2">
        <v>0.31547436180085431</v>
      </c>
    </row>
    <row r="97" spans="1:10" x14ac:dyDescent="0.25">
      <c r="A97" s="1">
        <v>45681</v>
      </c>
      <c r="B97">
        <f t="shared" si="8"/>
        <v>24</v>
      </c>
      <c r="C97">
        <v>8.2799999999999994</v>
      </c>
      <c r="D97">
        <v>7.55</v>
      </c>
      <c r="E97">
        <v>-2.2999999999999998</v>
      </c>
      <c r="F97" s="2">
        <v>78.066204896326198</v>
      </c>
      <c r="G97" s="2">
        <v>59.875875031124657</v>
      </c>
      <c r="H97">
        <v>1.06</v>
      </c>
      <c r="I97">
        <v>0</v>
      </c>
      <c r="J97" s="2">
        <v>5.3922200718557078E-2</v>
      </c>
    </row>
    <row r="98" spans="1:10" x14ac:dyDescent="0.25">
      <c r="A98" s="1">
        <v>45682</v>
      </c>
      <c r="B98">
        <f t="shared" si="8"/>
        <v>25</v>
      </c>
      <c r="C98">
        <v>2.54</v>
      </c>
      <c r="D98">
        <v>-0.49</v>
      </c>
      <c r="E98">
        <v>-3.94</v>
      </c>
      <c r="F98" s="2">
        <v>70.855661901277472</v>
      </c>
      <c r="G98" s="2">
        <v>76.153419590777418</v>
      </c>
      <c r="H98">
        <v>1.02</v>
      </c>
      <c r="I98">
        <v>0</v>
      </c>
      <c r="J98" s="2">
        <v>0.33585221639551072</v>
      </c>
    </row>
    <row r="99" spans="1:10" x14ac:dyDescent="0.25">
      <c r="A99" s="1">
        <v>45683</v>
      </c>
      <c r="B99">
        <f t="shared" si="8"/>
        <v>26</v>
      </c>
      <c r="C99">
        <v>3.97</v>
      </c>
      <c r="D99">
        <v>-1.53</v>
      </c>
      <c r="E99">
        <v>-8.14</v>
      </c>
      <c r="F99" s="2">
        <v>72.42971582579834</v>
      </c>
      <c r="G99" s="2">
        <v>64.208260508428921</v>
      </c>
      <c r="H99">
        <v>1.34</v>
      </c>
      <c r="I99">
        <v>0</v>
      </c>
      <c r="J99" s="2">
        <v>0.32382510876790882</v>
      </c>
    </row>
    <row r="100" spans="1:10" x14ac:dyDescent="0.25">
      <c r="A100" s="1">
        <v>45684</v>
      </c>
      <c r="B100">
        <f t="shared" si="8"/>
        <v>27</v>
      </c>
      <c r="C100">
        <v>4.75</v>
      </c>
      <c r="D100">
        <v>-3.89</v>
      </c>
      <c r="E100">
        <v>-10.199999999999999</v>
      </c>
      <c r="F100" s="2">
        <v>78.538974376087779</v>
      </c>
      <c r="G100" s="2">
        <v>80.800907394540701</v>
      </c>
      <c r="H100">
        <v>0.9</v>
      </c>
      <c r="I100">
        <v>0</v>
      </c>
      <c r="J100" s="2">
        <v>0.14676233920668014</v>
      </c>
    </row>
    <row r="101" spans="1:10" x14ac:dyDescent="0.25">
      <c r="A101" s="1">
        <v>45685</v>
      </c>
      <c r="B101">
        <f t="shared" si="8"/>
        <v>28</v>
      </c>
      <c r="C101">
        <v>3.86</v>
      </c>
      <c r="D101">
        <v>-2.2000000000000002</v>
      </c>
      <c r="E101">
        <v>-7.82</v>
      </c>
      <c r="F101" s="2">
        <v>95.277154124201743</v>
      </c>
      <c r="G101" s="2">
        <v>83.229404718062128</v>
      </c>
      <c r="H101">
        <v>0.73</v>
      </c>
      <c r="I101">
        <v>0</v>
      </c>
      <c r="J101" s="2">
        <v>0.15819954204753062</v>
      </c>
    </row>
    <row r="102" spans="1:10" x14ac:dyDescent="0.25">
      <c r="A102" s="1">
        <v>45686</v>
      </c>
      <c r="B102">
        <f t="shared" si="8"/>
        <v>29</v>
      </c>
      <c r="C102">
        <v>3.44</v>
      </c>
      <c r="D102">
        <v>-1.34</v>
      </c>
      <c r="E102">
        <v>-4.8499999999999996</v>
      </c>
      <c r="F102" s="2">
        <v>88.429615926487898</v>
      </c>
      <c r="G102" s="2">
        <v>92.255997225449022</v>
      </c>
      <c r="H102">
        <v>0.68</v>
      </c>
      <c r="I102">
        <v>0</v>
      </c>
      <c r="J102" s="2">
        <v>0.18501906881783534</v>
      </c>
    </row>
    <row r="103" spans="1:10" x14ac:dyDescent="0.25">
      <c r="A103" s="1">
        <v>45687</v>
      </c>
      <c r="B103">
        <f t="shared" si="8"/>
        <v>30</v>
      </c>
      <c r="C103">
        <v>2.91</v>
      </c>
      <c r="D103">
        <v>7.59</v>
      </c>
      <c r="E103">
        <v>-1.72</v>
      </c>
      <c r="F103" s="2">
        <v>93.060115021393869</v>
      </c>
      <c r="G103" s="2">
        <v>91.329892927911942</v>
      </c>
      <c r="H103">
        <v>1.19</v>
      </c>
      <c r="I103">
        <v>3.3</v>
      </c>
      <c r="J103" s="2">
        <v>0.29471084099662986</v>
      </c>
    </row>
    <row r="104" spans="1:10" x14ac:dyDescent="0.25">
      <c r="A104" s="1">
        <v>45688</v>
      </c>
      <c r="B104">
        <f t="shared" si="8"/>
        <v>31</v>
      </c>
      <c r="C104">
        <v>2.64</v>
      </c>
      <c r="D104">
        <v>5.47</v>
      </c>
      <c r="E104">
        <v>2.16</v>
      </c>
      <c r="F104" s="2">
        <v>100</v>
      </c>
      <c r="G104" s="2">
        <v>97.320350047946434</v>
      </c>
      <c r="H104">
        <v>0.76</v>
      </c>
      <c r="I104">
        <v>17.53</v>
      </c>
      <c r="J104" s="2">
        <v>0.25974381972923966</v>
      </c>
    </row>
    <row r="105" spans="1:10" x14ac:dyDescent="0.25">
      <c r="A105" s="1">
        <v>45689</v>
      </c>
      <c r="B105">
        <f t="shared" si="8"/>
        <v>32</v>
      </c>
      <c r="C105">
        <v>9.81</v>
      </c>
      <c r="D105">
        <v>10.24</v>
      </c>
      <c r="E105">
        <v>-0.39</v>
      </c>
      <c r="F105" s="2">
        <v>100</v>
      </c>
      <c r="G105" s="2">
        <v>81.955646856907975</v>
      </c>
      <c r="H105">
        <v>0.99</v>
      </c>
      <c r="I105">
        <v>0</v>
      </c>
      <c r="J105" s="2">
        <v>6.5009350115622699E-2</v>
      </c>
    </row>
    <row r="106" spans="1:10" x14ac:dyDescent="0.25">
      <c r="A106" s="1">
        <v>45690</v>
      </c>
      <c r="B106">
        <f t="shared" si="8"/>
        <v>33</v>
      </c>
      <c r="C106">
        <v>10.06</v>
      </c>
      <c r="D106">
        <v>9.26</v>
      </c>
      <c r="E106">
        <v>-1.47</v>
      </c>
      <c r="F106" s="2">
        <v>89.472549939092403</v>
      </c>
      <c r="G106" s="2">
        <v>63.986674806734513</v>
      </c>
      <c r="H106">
        <v>1.07</v>
      </c>
      <c r="I106">
        <v>0.25</v>
      </c>
      <c r="J106" s="2">
        <v>0.17647987862226139</v>
      </c>
    </row>
    <row r="107" spans="1:10" x14ac:dyDescent="0.25">
      <c r="A107" s="1">
        <v>45691</v>
      </c>
      <c r="B107">
        <f t="shared" si="8"/>
        <v>34</v>
      </c>
      <c r="C107">
        <v>9.34</v>
      </c>
      <c r="D107">
        <v>7.22</v>
      </c>
      <c r="E107">
        <v>-1.71</v>
      </c>
      <c r="F107" s="2">
        <v>95.79771217514481</v>
      </c>
      <c r="G107" s="2">
        <v>70.629308779230541</v>
      </c>
      <c r="H107">
        <v>1.93</v>
      </c>
      <c r="I107">
        <v>0</v>
      </c>
      <c r="J107" s="2">
        <v>0.30154704798328053</v>
      </c>
    </row>
    <row r="108" spans="1:10" x14ac:dyDescent="0.25">
      <c r="A108" s="1">
        <v>45692</v>
      </c>
      <c r="B108">
        <f t="shared" si="8"/>
        <v>35</v>
      </c>
      <c r="C108">
        <v>10.5</v>
      </c>
      <c r="D108">
        <v>6.72</v>
      </c>
      <c r="E108">
        <v>-2.4</v>
      </c>
      <c r="F108" s="2">
        <v>86.346869547986401</v>
      </c>
      <c r="G108" s="2">
        <v>58.88302675885582</v>
      </c>
      <c r="H108">
        <v>1.25</v>
      </c>
      <c r="I108">
        <v>0</v>
      </c>
      <c r="J108" s="2">
        <v>0.2549454882531747</v>
      </c>
    </row>
    <row r="109" spans="1:10" x14ac:dyDescent="0.25">
      <c r="A109" s="1">
        <v>45693</v>
      </c>
      <c r="B109">
        <f t="shared" si="8"/>
        <v>36</v>
      </c>
      <c r="C109">
        <v>9.99</v>
      </c>
      <c r="D109">
        <v>3.37</v>
      </c>
      <c r="E109">
        <v>-4.5599999999999996</v>
      </c>
      <c r="F109" s="2">
        <v>98.422349537408195</v>
      </c>
      <c r="G109" s="2">
        <v>74.827005829533803</v>
      </c>
      <c r="H109">
        <v>0.88</v>
      </c>
      <c r="I109">
        <v>0</v>
      </c>
      <c r="J109" s="2">
        <v>0.12113353683268485</v>
      </c>
    </row>
    <row r="110" spans="1:10" x14ac:dyDescent="0.25">
      <c r="A110" s="1">
        <v>45694</v>
      </c>
      <c r="B110">
        <f t="shared" si="8"/>
        <v>37</v>
      </c>
      <c r="C110">
        <v>1.58</v>
      </c>
      <c r="D110">
        <v>-1.1299999999999999</v>
      </c>
      <c r="E110">
        <v>-2.85</v>
      </c>
      <c r="F110" s="2">
        <v>5</v>
      </c>
      <c r="G110" s="2">
        <v>91.58723758620593</v>
      </c>
      <c r="H110">
        <v>1.19</v>
      </c>
      <c r="I110">
        <v>0</v>
      </c>
      <c r="J110" s="2">
        <v>0.34108268745561932</v>
      </c>
    </row>
    <row r="111" spans="1:10" x14ac:dyDescent="0.25">
      <c r="A111" s="1">
        <v>45695</v>
      </c>
      <c r="B111">
        <f t="shared" si="8"/>
        <v>38</v>
      </c>
      <c r="C111">
        <v>1.98</v>
      </c>
      <c r="D111">
        <v>-1.52</v>
      </c>
      <c r="E111">
        <v>-3.06</v>
      </c>
      <c r="F111" s="2">
        <v>78.059622867346619</v>
      </c>
      <c r="G111" s="2">
        <v>87.026670191090375</v>
      </c>
      <c r="H111">
        <v>1.91</v>
      </c>
      <c r="I111">
        <v>0</v>
      </c>
      <c r="J111" s="2">
        <v>0.4180843039586401</v>
      </c>
    </row>
    <row r="112" spans="1:10" x14ac:dyDescent="0.25">
      <c r="A112" s="1">
        <v>45696</v>
      </c>
      <c r="B112">
        <f t="shared" si="8"/>
        <v>39</v>
      </c>
      <c r="C112">
        <v>3.19</v>
      </c>
      <c r="D112">
        <v>0.12</v>
      </c>
      <c r="E112">
        <v>-2.5099999999999998</v>
      </c>
      <c r="F112" s="2">
        <v>88.512742848825866</v>
      </c>
      <c r="G112" s="2">
        <v>80.060025753685224</v>
      </c>
      <c r="H112">
        <v>0.8</v>
      </c>
      <c r="I112">
        <v>0</v>
      </c>
      <c r="J112" s="2">
        <v>0.33351534010166795</v>
      </c>
    </row>
    <row r="113" spans="1:10" x14ac:dyDescent="0.25">
      <c r="A113" s="1">
        <v>45697</v>
      </c>
      <c r="B113">
        <f t="shared" si="8"/>
        <v>40</v>
      </c>
      <c r="C113">
        <v>4.0599999999999996</v>
      </c>
      <c r="D113">
        <v>0.79</v>
      </c>
      <c r="E113">
        <v>-2.21</v>
      </c>
      <c r="F113" s="2">
        <v>87.15207204051238</v>
      </c>
      <c r="G113" s="2">
        <v>82.265642098273261</v>
      </c>
      <c r="H113">
        <v>0.92</v>
      </c>
      <c r="I113">
        <v>0</v>
      </c>
      <c r="J113" s="2">
        <v>0.33423498668897234</v>
      </c>
    </row>
    <row r="114" spans="1:10" x14ac:dyDescent="0.25">
      <c r="A114" s="1">
        <v>45698</v>
      </c>
      <c r="B114">
        <f t="shared" si="8"/>
        <v>41</v>
      </c>
      <c r="C114">
        <v>8.42</v>
      </c>
      <c r="D114">
        <v>3.97</v>
      </c>
      <c r="E114">
        <v>-2.15</v>
      </c>
      <c r="F114" s="2">
        <v>92.96606432193478</v>
      </c>
      <c r="G114" s="2">
        <v>71.619594924546632</v>
      </c>
      <c r="H114">
        <v>0.62</v>
      </c>
      <c r="I114">
        <v>0</v>
      </c>
      <c r="J114" s="2">
        <v>0.26549611259256239</v>
      </c>
    </row>
    <row r="115" spans="1:10" x14ac:dyDescent="0.25">
      <c r="A115" s="1">
        <v>45699</v>
      </c>
      <c r="B115">
        <f t="shared" si="8"/>
        <v>42</v>
      </c>
      <c r="C115">
        <v>2.62</v>
      </c>
      <c r="D115">
        <v>0.93</v>
      </c>
      <c r="E115">
        <v>-3.94</v>
      </c>
      <c r="F115" s="2">
        <v>99.849589676594192</v>
      </c>
      <c r="G115" s="2">
        <v>93.957694061818657</v>
      </c>
      <c r="H115">
        <v>0.49</v>
      </c>
      <c r="I115">
        <v>0.25</v>
      </c>
      <c r="J115" s="2">
        <v>0.29017092265416639</v>
      </c>
    </row>
    <row r="116" spans="1:10" x14ac:dyDescent="0.25">
      <c r="A116" s="1">
        <v>45700</v>
      </c>
      <c r="B116">
        <f t="shared" si="8"/>
        <v>43</v>
      </c>
      <c r="C116">
        <v>10.17</v>
      </c>
      <c r="D116">
        <v>10.8</v>
      </c>
      <c r="E116">
        <v>-7</v>
      </c>
      <c r="F116" s="2">
        <v>96.127536610668756</v>
      </c>
      <c r="G116" s="2">
        <v>62.429798779985468</v>
      </c>
      <c r="H116">
        <v>3.18</v>
      </c>
      <c r="I116">
        <v>5.59</v>
      </c>
      <c r="J116" s="2">
        <v>0.88089833356212244</v>
      </c>
    </row>
    <row r="117" spans="1:10" x14ac:dyDescent="0.25">
      <c r="A117" s="1">
        <v>45701</v>
      </c>
      <c r="B117">
        <f t="shared" si="8"/>
        <v>44</v>
      </c>
      <c r="C117">
        <v>11.19</v>
      </c>
      <c r="D117">
        <v>14.05</v>
      </c>
      <c r="E117">
        <v>1.35</v>
      </c>
      <c r="F117" s="2">
        <v>77.790652482676919</v>
      </c>
      <c r="G117" s="2">
        <v>55.308246714560184</v>
      </c>
      <c r="H117">
        <v>0.78</v>
      </c>
      <c r="I117">
        <v>0</v>
      </c>
      <c r="J117" s="2">
        <v>0.52015603131035615</v>
      </c>
    </row>
    <row r="118" spans="1:10" x14ac:dyDescent="0.25">
      <c r="A118" s="1">
        <v>45702</v>
      </c>
      <c r="B118">
        <f t="shared" si="8"/>
        <v>45</v>
      </c>
      <c r="C118">
        <v>6.89</v>
      </c>
      <c r="D118">
        <v>15.34</v>
      </c>
      <c r="E118">
        <v>4.2699999999999996</v>
      </c>
      <c r="F118" s="2">
        <v>87.916438184889842</v>
      </c>
      <c r="G118" s="2">
        <v>63.716771004458749</v>
      </c>
      <c r="H118">
        <v>2.8</v>
      </c>
      <c r="I118">
        <v>0</v>
      </c>
      <c r="J118" s="2">
        <v>1.1185571658173155</v>
      </c>
    </row>
    <row r="119" spans="1:10" x14ac:dyDescent="0.25">
      <c r="A119" s="1">
        <v>45703</v>
      </c>
      <c r="B119">
        <f t="shared" si="8"/>
        <v>46</v>
      </c>
      <c r="C119">
        <v>9.8000000000000007</v>
      </c>
      <c r="D119">
        <v>18.05</v>
      </c>
      <c r="E119">
        <v>4.6100000000000003</v>
      </c>
      <c r="F119" s="2">
        <v>93.077958669648709</v>
      </c>
      <c r="G119" s="2">
        <v>51.636215854327261</v>
      </c>
      <c r="H119">
        <v>1.02</v>
      </c>
      <c r="I119">
        <v>0</v>
      </c>
      <c r="J119" s="2">
        <v>0.81114834287048643</v>
      </c>
    </row>
    <row r="120" spans="1:10" x14ac:dyDescent="0.25">
      <c r="A120" s="1">
        <v>45704</v>
      </c>
      <c r="B120">
        <f t="shared" si="8"/>
        <v>47</v>
      </c>
      <c r="C120">
        <v>9.25</v>
      </c>
      <c r="D120">
        <v>12.91</v>
      </c>
      <c r="E120">
        <v>1.88</v>
      </c>
      <c r="F120" s="2">
        <v>97.73067473623523</v>
      </c>
      <c r="G120" s="2">
        <v>67.562781159995453</v>
      </c>
      <c r="H120">
        <v>0.75</v>
      </c>
      <c r="I120">
        <v>0</v>
      </c>
      <c r="J120" s="2">
        <v>0.55334589964879133</v>
      </c>
    </row>
    <row r="121" spans="1:10" x14ac:dyDescent="0.25">
      <c r="A121" s="1">
        <v>45705</v>
      </c>
      <c r="B121">
        <f t="shared" si="8"/>
        <v>48</v>
      </c>
      <c r="C121">
        <v>12.38</v>
      </c>
      <c r="D121">
        <v>13.49</v>
      </c>
      <c r="E121">
        <v>4.75</v>
      </c>
      <c r="F121" s="2">
        <v>72.667221806949428</v>
      </c>
      <c r="G121" s="2">
        <v>59.718358201292091</v>
      </c>
      <c r="H121">
        <v>2.97</v>
      </c>
      <c r="I121">
        <v>0</v>
      </c>
      <c r="J121" s="2">
        <v>1.2744667042019822</v>
      </c>
    </row>
    <row r="122" spans="1:10" x14ac:dyDescent="0.25">
      <c r="A122" s="1">
        <v>45706</v>
      </c>
      <c r="B122">
        <f t="shared" si="8"/>
        <v>49</v>
      </c>
      <c r="C122">
        <v>5.38</v>
      </c>
      <c r="D122">
        <v>10.23</v>
      </c>
      <c r="E122">
        <v>1.05</v>
      </c>
      <c r="F122" s="2">
        <v>91.134453216209593</v>
      </c>
      <c r="G122" s="2">
        <v>71.480033744585256</v>
      </c>
      <c r="H122">
        <v>1.67</v>
      </c>
      <c r="I122">
        <v>1.27</v>
      </c>
      <c r="J122" s="2">
        <v>0.69741230933502762</v>
      </c>
    </row>
    <row r="123" spans="1:10" x14ac:dyDescent="0.25">
      <c r="A123" s="1">
        <v>45707</v>
      </c>
      <c r="B123">
        <f t="shared" si="8"/>
        <v>50</v>
      </c>
      <c r="C123">
        <v>7.92</v>
      </c>
      <c r="D123">
        <v>11.61</v>
      </c>
      <c r="E123">
        <v>3.39</v>
      </c>
      <c r="F123" s="2">
        <v>70.043884060475463</v>
      </c>
      <c r="G123" s="2">
        <v>67.003043024232383</v>
      </c>
      <c r="H123">
        <v>4.05</v>
      </c>
      <c r="I123">
        <v>0</v>
      </c>
      <c r="J123" s="2">
        <v>1.3557289197930313</v>
      </c>
    </row>
    <row r="124" spans="1:10" x14ac:dyDescent="0.25">
      <c r="A124" s="1">
        <v>45708</v>
      </c>
      <c r="B124">
        <f t="shared" si="8"/>
        <v>51</v>
      </c>
      <c r="C124">
        <v>11.51</v>
      </c>
      <c r="D124">
        <v>11.96</v>
      </c>
      <c r="E124">
        <v>0.09</v>
      </c>
      <c r="F124" s="2">
        <v>78.51584472367928</v>
      </c>
      <c r="G124" s="2">
        <v>49.583852834759149</v>
      </c>
      <c r="H124">
        <v>1.71</v>
      </c>
      <c r="I124">
        <v>0</v>
      </c>
      <c r="J124" s="2">
        <v>1.0161021135121575</v>
      </c>
    </row>
    <row r="125" spans="1:10" x14ac:dyDescent="0.25">
      <c r="A125" s="1">
        <v>45709</v>
      </c>
      <c r="B125">
        <f t="shared" si="8"/>
        <v>52</v>
      </c>
      <c r="C125">
        <v>9.3800000000000008</v>
      </c>
      <c r="D125">
        <v>8.44</v>
      </c>
      <c r="E125">
        <v>-1.58</v>
      </c>
      <c r="F125" s="2">
        <v>93.275920409587556</v>
      </c>
      <c r="G125" s="2">
        <v>60.405613987692938</v>
      </c>
      <c r="H125">
        <v>0.68</v>
      </c>
      <c r="I125">
        <v>0</v>
      </c>
      <c r="J125" s="2">
        <v>0.57885128388267293</v>
      </c>
    </row>
    <row r="126" spans="1:10" x14ac:dyDescent="0.25">
      <c r="A126" s="1">
        <v>45710</v>
      </c>
      <c r="B126">
        <f t="shared" si="8"/>
        <v>53</v>
      </c>
      <c r="C126">
        <v>13.65</v>
      </c>
      <c r="D126">
        <v>10.32</v>
      </c>
      <c r="E126">
        <v>-2.63</v>
      </c>
      <c r="F126" s="2">
        <v>94.625505407558578</v>
      </c>
      <c r="G126" s="2">
        <v>53.375260635301522</v>
      </c>
      <c r="H126">
        <v>1.1100000000000001</v>
      </c>
      <c r="I126">
        <v>0.25</v>
      </c>
      <c r="J126" s="2">
        <v>0.76190618421588374</v>
      </c>
    </row>
    <row r="127" spans="1:10" x14ac:dyDescent="0.25">
      <c r="A127" s="1">
        <v>45711</v>
      </c>
      <c r="B127">
        <f t="shared" si="8"/>
        <v>54</v>
      </c>
      <c r="C127">
        <v>11.38</v>
      </c>
      <c r="D127">
        <v>10.39</v>
      </c>
      <c r="E127">
        <v>-2.5499999999999998</v>
      </c>
      <c r="F127" s="2">
        <v>93.291967833642857</v>
      </c>
      <c r="G127" s="2">
        <v>58.185216135475123</v>
      </c>
      <c r="H127">
        <v>0.8</v>
      </c>
      <c r="I127">
        <v>0</v>
      </c>
      <c r="J127" s="2">
        <v>0.69311357379864436</v>
      </c>
    </row>
    <row r="128" spans="1:10" x14ac:dyDescent="0.25">
      <c r="A128" s="1">
        <v>45712</v>
      </c>
      <c r="B128">
        <f t="shared" si="8"/>
        <v>55</v>
      </c>
      <c r="C128">
        <v>13.86</v>
      </c>
      <c r="D128">
        <v>12.93</v>
      </c>
      <c r="E128">
        <v>-2.63</v>
      </c>
      <c r="F128" s="2">
        <v>94.201165868577135</v>
      </c>
      <c r="G128" s="2">
        <v>49.189632321559593</v>
      </c>
      <c r="H128">
        <v>1.05</v>
      </c>
      <c r="I128">
        <v>0</v>
      </c>
      <c r="J128" s="2">
        <v>0.90067788378730662</v>
      </c>
    </row>
    <row r="129" spans="1:10" x14ac:dyDescent="0.25">
      <c r="A129" s="1">
        <v>45713</v>
      </c>
      <c r="B129">
        <f t="shared" si="8"/>
        <v>56</v>
      </c>
      <c r="C129">
        <v>11.39</v>
      </c>
      <c r="D129">
        <v>12.53</v>
      </c>
      <c r="E129">
        <v>-0.34</v>
      </c>
      <c r="F129" s="2">
        <v>94.656715491250708</v>
      </c>
      <c r="G129" s="2">
        <v>55.564562581974442</v>
      </c>
      <c r="H129">
        <v>1.0900000000000001</v>
      </c>
      <c r="I129">
        <v>0</v>
      </c>
      <c r="J129" s="2">
        <v>0.89035808381589532</v>
      </c>
    </row>
    <row r="130" spans="1:10" x14ac:dyDescent="0.25">
      <c r="A130" s="1">
        <v>45714</v>
      </c>
      <c r="B130">
        <f t="shared" si="8"/>
        <v>57</v>
      </c>
      <c r="C130">
        <v>8.14</v>
      </c>
      <c r="D130">
        <v>13.13</v>
      </c>
      <c r="E130">
        <v>3.06</v>
      </c>
      <c r="F130" s="2">
        <v>65.991494145336119</v>
      </c>
      <c r="G130" s="2">
        <v>54.908851430402237</v>
      </c>
      <c r="H130">
        <v>1.92</v>
      </c>
      <c r="I130">
        <v>0</v>
      </c>
      <c r="J130" s="2">
        <v>1.2871042202935425</v>
      </c>
    </row>
    <row r="131" spans="1:10" x14ac:dyDescent="0.25">
      <c r="A131" s="1">
        <v>45715</v>
      </c>
      <c r="B131">
        <f t="shared" si="8"/>
        <v>58</v>
      </c>
      <c r="C131">
        <v>8.81</v>
      </c>
      <c r="D131">
        <v>8.65</v>
      </c>
      <c r="E131">
        <v>-0.37</v>
      </c>
      <c r="F131" s="2">
        <v>61.390492287904827</v>
      </c>
      <c r="G131" s="2">
        <v>54.556890696433982</v>
      </c>
      <c r="H131">
        <v>1.6</v>
      </c>
      <c r="I131">
        <v>0</v>
      </c>
      <c r="J131" s="2">
        <v>1.0493159540706873</v>
      </c>
    </row>
    <row r="132" spans="1:10" x14ac:dyDescent="0.25">
      <c r="A132" s="1">
        <v>45716</v>
      </c>
      <c r="B132">
        <f t="shared" si="8"/>
        <v>59</v>
      </c>
      <c r="C132">
        <v>13.72</v>
      </c>
      <c r="D132">
        <v>9.23</v>
      </c>
      <c r="E132">
        <v>-3.97</v>
      </c>
      <c r="F132" s="2">
        <v>88.85015484222923</v>
      </c>
      <c r="G132" s="2">
        <v>52.842513640805713</v>
      </c>
      <c r="H132">
        <v>1.1599999999999999</v>
      </c>
      <c r="I132">
        <v>0</v>
      </c>
      <c r="J132" s="2">
        <v>0.90812998439722148</v>
      </c>
    </row>
    <row r="133" spans="1:10" x14ac:dyDescent="0.25">
      <c r="A133" s="1">
        <v>45717</v>
      </c>
      <c r="B133">
        <f t="shared" si="8"/>
        <v>60</v>
      </c>
      <c r="C133">
        <v>3.38</v>
      </c>
      <c r="D133">
        <v>8.98</v>
      </c>
      <c r="E133">
        <v>1.59</v>
      </c>
      <c r="F133" s="2">
        <v>78.233861473548657</v>
      </c>
      <c r="G133" s="2">
        <v>78.071602950505309</v>
      </c>
      <c r="H133">
        <v>3.46</v>
      </c>
      <c r="I133">
        <v>2.29</v>
      </c>
      <c r="J133" s="2">
        <v>0.94689826810765454</v>
      </c>
    </row>
    <row r="134" spans="1:10" x14ac:dyDescent="0.25">
      <c r="A134" s="1">
        <v>45718</v>
      </c>
      <c r="B134">
        <f t="shared" si="8"/>
        <v>61</v>
      </c>
      <c r="C134">
        <v>10.26</v>
      </c>
      <c r="D134">
        <v>11.01</v>
      </c>
      <c r="E134">
        <v>-0.62</v>
      </c>
      <c r="F134" s="2">
        <v>81.643898121794706</v>
      </c>
      <c r="G134" s="2">
        <v>56.229438638496255</v>
      </c>
      <c r="H134">
        <v>3.4</v>
      </c>
      <c r="I134">
        <v>0</v>
      </c>
      <c r="J134" s="2">
        <v>1.4411714160868163</v>
      </c>
    </row>
    <row r="135" spans="1:10" x14ac:dyDescent="0.25">
      <c r="A135" s="1">
        <v>45719</v>
      </c>
      <c r="B135">
        <f t="shared" si="8"/>
        <v>62</v>
      </c>
      <c r="C135">
        <v>13.62</v>
      </c>
      <c r="D135">
        <v>10.06</v>
      </c>
      <c r="E135">
        <v>-2.59</v>
      </c>
      <c r="F135" s="2">
        <v>87.575004406807793</v>
      </c>
      <c r="G135" s="2">
        <v>51.18754000619797</v>
      </c>
      <c r="H135">
        <v>1.68</v>
      </c>
      <c r="I135">
        <v>0</v>
      </c>
      <c r="J135" s="2">
        <v>1.1487430392148941</v>
      </c>
    </row>
    <row r="136" spans="1:10" x14ac:dyDescent="0.25">
      <c r="A136" s="1">
        <v>45720</v>
      </c>
      <c r="B136">
        <f t="shared" si="8"/>
        <v>63</v>
      </c>
      <c r="C136">
        <v>8.7200000000000006</v>
      </c>
      <c r="D136">
        <v>8.81</v>
      </c>
      <c r="E136">
        <v>-3.55</v>
      </c>
      <c r="F136" s="2">
        <v>88.955593293087958</v>
      </c>
      <c r="G136" s="2">
        <v>50.055727606244936</v>
      </c>
      <c r="H136">
        <v>1.25</v>
      </c>
      <c r="I136">
        <v>0</v>
      </c>
      <c r="J136" s="2">
        <v>0.94581360973812756</v>
      </c>
    </row>
    <row r="137" spans="1:10" x14ac:dyDescent="0.25">
      <c r="A137" s="1">
        <v>45721</v>
      </c>
      <c r="B137">
        <f t="shared" si="8"/>
        <v>64</v>
      </c>
      <c r="C137">
        <v>6.3</v>
      </c>
      <c r="D137">
        <v>7.73</v>
      </c>
      <c r="E137">
        <v>0.41</v>
      </c>
      <c r="F137" s="2">
        <v>85.062225247805685</v>
      </c>
      <c r="G137" s="2">
        <v>72.255863691627084</v>
      </c>
      <c r="H137">
        <v>0.92</v>
      </c>
      <c r="I137">
        <v>1.02</v>
      </c>
      <c r="J137" s="2">
        <v>0.73728898156659772</v>
      </c>
    </row>
    <row r="138" spans="1:10" x14ac:dyDescent="0.25">
      <c r="A138" s="1">
        <v>45722</v>
      </c>
      <c r="B138">
        <f t="shared" si="8"/>
        <v>65</v>
      </c>
      <c r="C138">
        <v>11.33</v>
      </c>
      <c r="D138">
        <v>13.93</v>
      </c>
      <c r="E138">
        <v>3.77</v>
      </c>
      <c r="F138" s="2">
        <v>84.408018605601995</v>
      </c>
      <c r="G138" s="2">
        <v>56.247506651434684</v>
      </c>
      <c r="H138">
        <v>3.67</v>
      </c>
      <c r="I138">
        <v>0</v>
      </c>
      <c r="J138" s="2">
        <v>1.7540264499008646</v>
      </c>
    </row>
    <row r="139" spans="1:10" x14ac:dyDescent="0.25">
      <c r="A139" s="1">
        <v>45723</v>
      </c>
      <c r="B139">
        <f t="shared" ref="B139:B202" si="9">A139-DATE(YEAR(A139),1,1)+1</f>
        <v>66</v>
      </c>
      <c r="C139">
        <v>8.81</v>
      </c>
      <c r="D139">
        <v>13.41</v>
      </c>
      <c r="E139">
        <v>2.38</v>
      </c>
      <c r="F139" s="2">
        <v>41.483836232012919</v>
      </c>
      <c r="G139" s="2">
        <v>55.099401550144286</v>
      </c>
      <c r="H139">
        <v>4.47</v>
      </c>
      <c r="I139">
        <v>0</v>
      </c>
      <c r="J139" s="2">
        <v>2.3095033393551376</v>
      </c>
    </row>
    <row r="140" spans="1:10" x14ac:dyDescent="0.25">
      <c r="A140" s="1">
        <v>45724</v>
      </c>
      <c r="B140">
        <f t="shared" si="9"/>
        <v>67</v>
      </c>
      <c r="C140">
        <v>15.25</v>
      </c>
      <c r="D140">
        <v>11.86</v>
      </c>
      <c r="E140">
        <v>-1.35</v>
      </c>
      <c r="F140" s="2">
        <v>59.306909004757358</v>
      </c>
      <c r="G140" s="2">
        <v>40.885200274266822</v>
      </c>
      <c r="H140">
        <v>1.57</v>
      </c>
      <c r="I140">
        <v>0</v>
      </c>
      <c r="J140" s="2">
        <v>1.5218084525655518</v>
      </c>
    </row>
    <row r="141" spans="1:10" x14ac:dyDescent="0.25">
      <c r="A141" s="1">
        <v>45725</v>
      </c>
      <c r="B141">
        <f t="shared" si="9"/>
        <v>68</v>
      </c>
      <c r="C141">
        <v>10.75</v>
      </c>
      <c r="D141">
        <v>16.329999999999998</v>
      </c>
      <c r="E141">
        <v>5.93</v>
      </c>
      <c r="F141" s="2">
        <v>49.146137566016215</v>
      </c>
      <c r="G141" s="2">
        <v>55.793676052453591</v>
      </c>
      <c r="H141">
        <v>5.53</v>
      </c>
      <c r="I141">
        <v>0.25</v>
      </c>
      <c r="J141" s="2">
        <v>2.8296270770523058</v>
      </c>
    </row>
    <row r="142" spans="1:10" x14ac:dyDescent="0.25">
      <c r="A142" s="1">
        <v>45726</v>
      </c>
      <c r="B142">
        <f t="shared" si="9"/>
        <v>69</v>
      </c>
      <c r="C142">
        <v>5.08</v>
      </c>
      <c r="D142">
        <v>8.6300000000000008</v>
      </c>
      <c r="E142">
        <v>3.44</v>
      </c>
      <c r="F142" s="2">
        <v>71.934992724281202</v>
      </c>
      <c r="G142" s="2">
        <v>74.442358497874451</v>
      </c>
      <c r="H142">
        <v>1.1399999999999999</v>
      </c>
      <c r="I142">
        <v>0</v>
      </c>
      <c r="J142" s="2">
        <v>0.87127753148594234</v>
      </c>
    </row>
    <row r="143" spans="1:10" x14ac:dyDescent="0.25">
      <c r="A143" s="1">
        <v>45727</v>
      </c>
      <c r="B143">
        <f t="shared" si="9"/>
        <v>70</v>
      </c>
      <c r="C143">
        <v>12.97</v>
      </c>
      <c r="D143">
        <v>11.68</v>
      </c>
      <c r="E143">
        <v>2.15</v>
      </c>
      <c r="F143" s="2">
        <v>74.548611939490627</v>
      </c>
      <c r="G143" s="2">
        <v>62.90391797634404</v>
      </c>
      <c r="H143">
        <v>1.61</v>
      </c>
      <c r="I143">
        <v>0.25</v>
      </c>
      <c r="J143" s="2">
        <v>1.3538293150082219</v>
      </c>
    </row>
    <row r="144" spans="1:10" x14ac:dyDescent="0.25">
      <c r="A144" s="1">
        <v>45728</v>
      </c>
      <c r="B144">
        <f t="shared" si="9"/>
        <v>71</v>
      </c>
      <c r="C144">
        <v>0.26</v>
      </c>
      <c r="D144">
        <v>8.3000000000000007</v>
      </c>
      <c r="E144">
        <v>0.33</v>
      </c>
      <c r="F144" s="2">
        <v>68.350246360513424</v>
      </c>
      <c r="G144" s="2">
        <v>59.419292540782962</v>
      </c>
      <c r="H144">
        <v>1.18</v>
      </c>
      <c r="I144">
        <v>0</v>
      </c>
      <c r="J144" s="2">
        <v>0.81879308778767568</v>
      </c>
    </row>
    <row r="145" spans="1:10" x14ac:dyDescent="0.25">
      <c r="A145" s="1">
        <v>45729</v>
      </c>
      <c r="B145">
        <f t="shared" si="9"/>
        <v>72</v>
      </c>
      <c r="C145">
        <v>14.49</v>
      </c>
      <c r="D145">
        <v>9.19</v>
      </c>
      <c r="E145">
        <v>-2.67</v>
      </c>
      <c r="F145" s="2">
        <v>86.38292841473509</v>
      </c>
      <c r="G145" s="2">
        <v>51.992008832545579</v>
      </c>
      <c r="H145">
        <v>1.52</v>
      </c>
      <c r="I145">
        <v>0</v>
      </c>
      <c r="J145" s="2">
        <v>1.2970810792653238</v>
      </c>
    </row>
    <row r="146" spans="1:10" x14ac:dyDescent="0.25">
      <c r="A146" s="1">
        <v>45730</v>
      </c>
      <c r="B146">
        <f t="shared" si="9"/>
        <v>73</v>
      </c>
      <c r="C146">
        <v>13.83</v>
      </c>
      <c r="D146">
        <v>7.4</v>
      </c>
      <c r="E146">
        <v>-0.96</v>
      </c>
      <c r="F146" s="2">
        <v>63.557257519883784</v>
      </c>
      <c r="G146" s="2">
        <v>57.697078739881412</v>
      </c>
      <c r="H146">
        <v>1.57</v>
      </c>
      <c r="I146">
        <v>0</v>
      </c>
      <c r="J146" s="2">
        <v>1.3059963166247961</v>
      </c>
    </row>
    <row r="147" spans="1:10" x14ac:dyDescent="0.25">
      <c r="A147" s="1">
        <v>45731</v>
      </c>
      <c r="B147">
        <f t="shared" si="9"/>
        <v>74</v>
      </c>
      <c r="C147">
        <v>6.26</v>
      </c>
      <c r="D147">
        <v>10.23</v>
      </c>
      <c r="E147">
        <v>-0.83</v>
      </c>
      <c r="F147" s="2">
        <v>86.709090677898814</v>
      </c>
      <c r="G147" s="2">
        <v>77.516424373274774</v>
      </c>
      <c r="H147">
        <v>1.35</v>
      </c>
      <c r="I147">
        <v>2.29</v>
      </c>
      <c r="J147" s="2">
        <v>0.86835682617096588</v>
      </c>
    </row>
    <row r="148" spans="1:10" x14ac:dyDescent="0.25">
      <c r="A148" s="1">
        <v>45732</v>
      </c>
      <c r="B148">
        <f t="shared" si="9"/>
        <v>75</v>
      </c>
      <c r="C148">
        <v>7.73</v>
      </c>
      <c r="D148">
        <v>15.19</v>
      </c>
      <c r="E148">
        <v>8.6</v>
      </c>
      <c r="F148" s="2">
        <v>70.607761550727474</v>
      </c>
      <c r="G148" s="2">
        <v>69.480659318337572</v>
      </c>
      <c r="H148">
        <v>2.48</v>
      </c>
      <c r="I148">
        <v>13.72</v>
      </c>
      <c r="J148" s="2">
        <v>1.5995014352196339</v>
      </c>
    </row>
    <row r="149" spans="1:10" x14ac:dyDescent="0.25">
      <c r="A149" s="1">
        <v>45733</v>
      </c>
      <c r="B149">
        <f t="shared" si="9"/>
        <v>76</v>
      </c>
      <c r="C149">
        <v>9.52</v>
      </c>
      <c r="D149">
        <v>15.31</v>
      </c>
      <c r="E149">
        <v>7.1</v>
      </c>
      <c r="F149" s="2">
        <v>72.391172756863682</v>
      </c>
      <c r="G149" s="2">
        <v>62.128198590876138</v>
      </c>
      <c r="H149">
        <v>3.23</v>
      </c>
      <c r="I149">
        <v>3.3</v>
      </c>
      <c r="J149" s="2">
        <v>1.9181293885458892</v>
      </c>
    </row>
    <row r="150" spans="1:10" x14ac:dyDescent="0.25">
      <c r="A150" s="1">
        <v>45734</v>
      </c>
      <c r="B150">
        <f t="shared" si="9"/>
        <v>77</v>
      </c>
      <c r="C150">
        <v>2.66</v>
      </c>
      <c r="D150">
        <v>13.5</v>
      </c>
      <c r="E150">
        <v>6.59</v>
      </c>
      <c r="F150" s="2">
        <v>78.075911309084503</v>
      </c>
      <c r="G150" s="2">
        <v>79.832904320370972</v>
      </c>
      <c r="H150">
        <v>0.97</v>
      </c>
      <c r="I150">
        <v>1.02</v>
      </c>
      <c r="J150" s="2">
        <v>0.83445326289112853</v>
      </c>
    </row>
    <row r="151" spans="1:10" x14ac:dyDescent="0.25">
      <c r="A151" s="1">
        <v>45735</v>
      </c>
      <c r="B151">
        <f t="shared" si="9"/>
        <v>78</v>
      </c>
      <c r="C151">
        <v>3.28</v>
      </c>
      <c r="D151">
        <v>18.170000000000002</v>
      </c>
      <c r="E151">
        <v>10.8</v>
      </c>
      <c r="F151" s="2">
        <v>75.139441294300894</v>
      </c>
      <c r="G151" s="2">
        <v>71.93678790841409</v>
      </c>
      <c r="H151">
        <v>1.37</v>
      </c>
      <c r="I151">
        <v>0</v>
      </c>
      <c r="J151" s="2">
        <v>1.1755496312446383</v>
      </c>
    </row>
    <row r="152" spans="1:10" x14ac:dyDescent="0.25">
      <c r="A152" s="1">
        <v>45736</v>
      </c>
      <c r="B152">
        <f t="shared" si="9"/>
        <v>79</v>
      </c>
      <c r="C152">
        <v>16.489999999999998</v>
      </c>
      <c r="D152">
        <v>15.24</v>
      </c>
      <c r="E152">
        <v>1.73</v>
      </c>
      <c r="F152" s="2">
        <v>75.807925930395839</v>
      </c>
      <c r="G152" s="2">
        <v>67.7367631002233</v>
      </c>
      <c r="H152">
        <v>3.12</v>
      </c>
      <c r="I152">
        <v>0.76</v>
      </c>
      <c r="J152" s="2">
        <v>1.9745132485145294</v>
      </c>
    </row>
    <row r="153" spans="1:10" x14ac:dyDescent="0.25">
      <c r="A153" s="1">
        <v>45737</v>
      </c>
      <c r="B153">
        <f t="shared" si="9"/>
        <v>80</v>
      </c>
      <c r="C153">
        <v>19.7</v>
      </c>
      <c r="D153">
        <v>14.62</v>
      </c>
      <c r="E153">
        <v>-1.6</v>
      </c>
      <c r="F153" s="2">
        <v>95.093676283695515</v>
      </c>
      <c r="G153" s="2">
        <v>51.548576326570725</v>
      </c>
      <c r="H153">
        <v>1.42</v>
      </c>
      <c r="I153">
        <v>0</v>
      </c>
      <c r="J153" s="2">
        <v>1.8808389185986705</v>
      </c>
    </row>
    <row r="154" spans="1:10" x14ac:dyDescent="0.25">
      <c r="A154" s="1">
        <v>45738</v>
      </c>
      <c r="B154">
        <f t="shared" si="9"/>
        <v>81</v>
      </c>
      <c r="C154">
        <v>11.57</v>
      </c>
      <c r="D154">
        <v>14.58</v>
      </c>
      <c r="E154">
        <v>3.65</v>
      </c>
      <c r="F154" s="2">
        <v>76.144614312284958</v>
      </c>
      <c r="G154" s="2">
        <v>51.357490500599276</v>
      </c>
      <c r="H154">
        <v>0.93</v>
      </c>
      <c r="I154">
        <v>0</v>
      </c>
      <c r="J154" s="2">
        <v>1.513922631884612</v>
      </c>
    </row>
    <row r="155" spans="1:10" x14ac:dyDescent="0.25">
      <c r="A155" s="1">
        <v>45739</v>
      </c>
      <c r="B155">
        <f t="shared" si="9"/>
        <v>82</v>
      </c>
      <c r="C155">
        <v>15.94</v>
      </c>
      <c r="D155">
        <v>17.899999999999999</v>
      </c>
      <c r="E155">
        <v>3.52</v>
      </c>
      <c r="F155" s="2">
        <v>45.04683874163095</v>
      </c>
      <c r="G155" s="2">
        <v>47.586188999766627</v>
      </c>
      <c r="H155">
        <v>2.63</v>
      </c>
      <c r="I155">
        <v>0</v>
      </c>
      <c r="J155" s="2">
        <v>2.693026531706106</v>
      </c>
    </row>
    <row r="156" spans="1:10" x14ac:dyDescent="0.25">
      <c r="A156" s="1">
        <v>45740</v>
      </c>
      <c r="B156">
        <f t="shared" si="9"/>
        <v>83</v>
      </c>
      <c r="C156">
        <v>18.2</v>
      </c>
      <c r="D156">
        <v>15.46</v>
      </c>
      <c r="E156">
        <v>-1.03</v>
      </c>
      <c r="F156" s="2">
        <v>76.000199043477394</v>
      </c>
      <c r="G156" s="2">
        <v>42.411114641098287</v>
      </c>
      <c r="H156">
        <v>1.27</v>
      </c>
      <c r="I156">
        <v>0.76</v>
      </c>
      <c r="J156" s="2">
        <v>2.002947615482737</v>
      </c>
    </row>
    <row r="157" spans="1:10" x14ac:dyDescent="0.25">
      <c r="A157" s="1">
        <v>45741</v>
      </c>
      <c r="B157">
        <f t="shared" si="9"/>
        <v>84</v>
      </c>
      <c r="C157">
        <v>20.28</v>
      </c>
      <c r="D157">
        <v>24.2</v>
      </c>
      <c r="E157">
        <v>2.44</v>
      </c>
      <c r="F157" s="2">
        <v>79.528085266018678</v>
      </c>
      <c r="G157" s="2">
        <v>40.012671925082607</v>
      </c>
      <c r="H157">
        <v>1.63</v>
      </c>
      <c r="I157">
        <v>0</v>
      </c>
      <c r="J157" s="2">
        <v>2.9394481164305333</v>
      </c>
    </row>
    <row r="158" spans="1:10" x14ac:dyDescent="0.25">
      <c r="A158" s="1">
        <v>45742</v>
      </c>
      <c r="B158">
        <f t="shared" si="9"/>
        <v>85</v>
      </c>
      <c r="C158">
        <v>12.01</v>
      </c>
      <c r="D158">
        <v>18.93</v>
      </c>
      <c r="E158">
        <v>5.16</v>
      </c>
      <c r="F158" s="2">
        <v>44.854343140844762</v>
      </c>
      <c r="G158" s="2">
        <v>49.100621103162382</v>
      </c>
      <c r="H158">
        <v>3.45</v>
      </c>
      <c r="I158">
        <v>0</v>
      </c>
      <c r="J158" s="2">
        <v>2.9538854898022966</v>
      </c>
    </row>
    <row r="159" spans="1:10" x14ac:dyDescent="0.25">
      <c r="A159" s="1">
        <v>45743</v>
      </c>
      <c r="B159">
        <f t="shared" si="9"/>
        <v>86</v>
      </c>
      <c r="C159">
        <v>18.739999999999998</v>
      </c>
      <c r="D159">
        <v>15.04</v>
      </c>
      <c r="E159">
        <v>-1.5</v>
      </c>
      <c r="F159" s="2">
        <v>66.387804517182531</v>
      </c>
      <c r="G159" s="2">
        <v>48.037032226584856</v>
      </c>
      <c r="H159">
        <v>2.8</v>
      </c>
      <c r="I159">
        <v>0</v>
      </c>
      <c r="J159" s="2">
        <v>2.4691742887721566</v>
      </c>
    </row>
    <row r="160" spans="1:10" x14ac:dyDescent="0.25">
      <c r="A160" s="1">
        <v>45744</v>
      </c>
      <c r="B160">
        <f t="shared" si="9"/>
        <v>87</v>
      </c>
      <c r="C160">
        <v>20.73</v>
      </c>
      <c r="D160">
        <v>14.58</v>
      </c>
      <c r="E160">
        <v>0.86</v>
      </c>
      <c r="F160" s="2">
        <v>58.348299681607955</v>
      </c>
      <c r="G160" s="2">
        <v>45.042729281314735</v>
      </c>
      <c r="H160">
        <v>4.0599999999999996</v>
      </c>
      <c r="I160">
        <v>0</v>
      </c>
      <c r="J160" s="2">
        <v>2.9832535524149493</v>
      </c>
    </row>
    <row r="161" spans="1:10" x14ac:dyDescent="0.25">
      <c r="A161" s="1">
        <v>45745</v>
      </c>
      <c r="B161">
        <f t="shared" si="9"/>
        <v>88</v>
      </c>
      <c r="C161">
        <v>19.59</v>
      </c>
      <c r="D161">
        <v>15.29</v>
      </c>
      <c r="E161">
        <v>-1.56</v>
      </c>
      <c r="F161" s="2">
        <v>65.913684963359401</v>
      </c>
      <c r="G161" s="2">
        <v>42.24034743348308</v>
      </c>
      <c r="H161">
        <v>1.82</v>
      </c>
      <c r="I161">
        <v>0</v>
      </c>
      <c r="J161" s="2">
        <v>2.3684536873999082</v>
      </c>
    </row>
    <row r="162" spans="1:10" x14ac:dyDescent="0.25">
      <c r="A162" s="1">
        <v>45746</v>
      </c>
      <c r="B162">
        <f t="shared" si="9"/>
        <v>89</v>
      </c>
      <c r="C162">
        <v>10.46</v>
      </c>
      <c r="D162">
        <v>16.579999999999998</v>
      </c>
      <c r="E162">
        <v>1.8</v>
      </c>
      <c r="F162" s="2">
        <v>67.702636954285808</v>
      </c>
      <c r="G162" s="2">
        <v>46.168977345189091</v>
      </c>
      <c r="H162">
        <v>2.89</v>
      </c>
      <c r="I162">
        <v>0</v>
      </c>
      <c r="J162" s="2">
        <v>2.3621985539433661</v>
      </c>
    </row>
    <row r="163" spans="1:10" x14ac:dyDescent="0.25">
      <c r="A163" s="1">
        <v>45747</v>
      </c>
      <c r="B163">
        <f t="shared" si="9"/>
        <v>90</v>
      </c>
      <c r="C163">
        <v>19.54</v>
      </c>
      <c r="D163">
        <v>12.57</v>
      </c>
      <c r="E163">
        <v>0.66</v>
      </c>
      <c r="F163" s="2">
        <v>52.672288044935698</v>
      </c>
      <c r="G163" s="2">
        <v>38.875393169207292</v>
      </c>
      <c r="H163">
        <v>3.92</v>
      </c>
      <c r="I163">
        <v>0</v>
      </c>
      <c r="J163" s="2">
        <v>2.9423764652803888</v>
      </c>
    </row>
    <row r="164" spans="1:10" x14ac:dyDescent="0.25">
      <c r="A164" s="1">
        <v>45748</v>
      </c>
      <c r="B164">
        <f t="shared" si="9"/>
        <v>91</v>
      </c>
      <c r="C164">
        <v>20.6</v>
      </c>
      <c r="D164">
        <v>13.38</v>
      </c>
      <c r="E164">
        <v>-0.51</v>
      </c>
      <c r="F164" s="2">
        <v>40.705558631754471</v>
      </c>
      <c r="G164" s="2">
        <v>39.005975126350094</v>
      </c>
      <c r="H164">
        <v>2.04</v>
      </c>
      <c r="I164">
        <v>0</v>
      </c>
      <c r="J164" s="2">
        <v>2.5725192892240774</v>
      </c>
    </row>
    <row r="165" spans="1:10" x14ac:dyDescent="0.25">
      <c r="A165" s="1">
        <v>45749</v>
      </c>
      <c r="B165">
        <f t="shared" si="9"/>
        <v>92</v>
      </c>
      <c r="C165">
        <v>21.31</v>
      </c>
      <c r="D165">
        <v>14.58</v>
      </c>
      <c r="E165">
        <v>-2.94</v>
      </c>
      <c r="F165" s="2">
        <v>72.5679505790566</v>
      </c>
      <c r="G165" s="2">
        <v>38.050490726152042</v>
      </c>
      <c r="H165">
        <v>1.65</v>
      </c>
      <c r="I165">
        <v>0</v>
      </c>
      <c r="J165" s="2">
        <v>2.41635302464837</v>
      </c>
    </row>
    <row r="166" spans="1:10" x14ac:dyDescent="0.25">
      <c r="A166" s="1">
        <v>45750</v>
      </c>
      <c r="B166">
        <f t="shared" si="9"/>
        <v>93</v>
      </c>
      <c r="C166">
        <v>21.09</v>
      </c>
      <c r="D166">
        <v>16.54</v>
      </c>
      <c r="E166">
        <v>0.2</v>
      </c>
      <c r="F166" s="2">
        <v>56.004525176370365</v>
      </c>
      <c r="G166" s="2">
        <v>40.379225962640547</v>
      </c>
      <c r="H166">
        <v>3.53</v>
      </c>
      <c r="I166">
        <v>0</v>
      </c>
      <c r="J166" s="2">
        <v>3.2673595461831662</v>
      </c>
    </row>
    <row r="167" spans="1:10" x14ac:dyDescent="0.25">
      <c r="A167" s="1">
        <v>45751</v>
      </c>
      <c r="B167">
        <f t="shared" si="9"/>
        <v>94</v>
      </c>
      <c r="C167">
        <v>15.3</v>
      </c>
      <c r="D167">
        <v>12.02</v>
      </c>
      <c r="E167">
        <v>-0.98</v>
      </c>
      <c r="F167" s="2">
        <v>55.109913187516057</v>
      </c>
      <c r="G167" s="2">
        <v>36.809808293558895</v>
      </c>
      <c r="H167">
        <v>2.88</v>
      </c>
      <c r="I167">
        <v>0</v>
      </c>
      <c r="J167" s="2">
        <v>2.4911764090211435</v>
      </c>
    </row>
    <row r="168" spans="1:10" x14ac:dyDescent="0.25">
      <c r="A168" s="1">
        <v>45752</v>
      </c>
      <c r="B168">
        <f t="shared" si="9"/>
        <v>95</v>
      </c>
      <c r="C168">
        <v>22.82</v>
      </c>
      <c r="D168">
        <v>12.81</v>
      </c>
      <c r="E168">
        <v>-0.47</v>
      </c>
      <c r="F168" s="2">
        <v>51.041739235585581</v>
      </c>
      <c r="G168" s="2">
        <v>33.999695121725168</v>
      </c>
      <c r="H168">
        <v>1.98</v>
      </c>
      <c r="I168">
        <v>0</v>
      </c>
      <c r="J168" s="2">
        <v>2.6997003162181077</v>
      </c>
    </row>
    <row r="169" spans="1:10" x14ac:dyDescent="0.25">
      <c r="A169" s="1">
        <v>45753</v>
      </c>
      <c r="B169">
        <f t="shared" si="9"/>
        <v>96</v>
      </c>
      <c r="C169">
        <v>22.39</v>
      </c>
      <c r="D169">
        <v>16.510000000000002</v>
      </c>
      <c r="E169">
        <v>-3.29</v>
      </c>
      <c r="F169" s="2">
        <v>73.573781840950844</v>
      </c>
      <c r="G169" s="2">
        <v>33.989785215069702</v>
      </c>
      <c r="H169">
        <v>1.03</v>
      </c>
      <c r="I169">
        <v>0</v>
      </c>
      <c r="J169" s="2">
        <v>2.4582009456116731</v>
      </c>
    </row>
    <row r="170" spans="1:10" x14ac:dyDescent="0.25">
      <c r="A170" s="1">
        <v>45754</v>
      </c>
      <c r="B170">
        <f t="shared" si="9"/>
        <v>97</v>
      </c>
      <c r="C170">
        <v>21.99</v>
      </c>
      <c r="D170">
        <v>18.48</v>
      </c>
      <c r="E170">
        <v>0.99</v>
      </c>
      <c r="F170" s="2">
        <v>70.007867161742936</v>
      </c>
      <c r="G170" s="2">
        <v>37.327786756630665</v>
      </c>
      <c r="H170">
        <v>1.46</v>
      </c>
      <c r="I170">
        <v>0</v>
      </c>
      <c r="J170" s="2">
        <v>2.8491021180075133</v>
      </c>
    </row>
    <row r="171" spans="1:10" x14ac:dyDescent="0.25">
      <c r="A171" s="1">
        <v>45755</v>
      </c>
      <c r="B171">
        <f t="shared" si="9"/>
        <v>98</v>
      </c>
      <c r="C171">
        <v>21.78</v>
      </c>
      <c r="D171">
        <v>17.25</v>
      </c>
      <c r="E171">
        <v>4.41</v>
      </c>
      <c r="F171" s="2">
        <v>66.840059574020273</v>
      </c>
      <c r="G171" s="2">
        <v>44.620533804411814</v>
      </c>
      <c r="H171">
        <v>2.15</v>
      </c>
      <c r="I171">
        <v>0</v>
      </c>
      <c r="J171" s="2">
        <v>3.029306246294035</v>
      </c>
    </row>
    <row r="172" spans="1:10" x14ac:dyDescent="0.25">
      <c r="A172" s="1">
        <v>45756</v>
      </c>
      <c r="B172">
        <f t="shared" si="9"/>
        <v>99</v>
      </c>
      <c r="C172">
        <v>0</v>
      </c>
      <c r="D172">
        <v>4.4400000000000004</v>
      </c>
      <c r="E172">
        <v>1.2</v>
      </c>
      <c r="F172" s="2">
        <v>85.028792359201972</v>
      </c>
      <c r="G172" s="2">
        <v>77.113469949584513</v>
      </c>
      <c r="H172">
        <v>1.0900000000000001</v>
      </c>
      <c r="I172">
        <v>0</v>
      </c>
      <c r="J172" s="2">
        <v>0.54270467252181254</v>
      </c>
    </row>
    <row r="173" spans="1:10" x14ac:dyDescent="0.25">
      <c r="A173" s="1">
        <v>45757</v>
      </c>
      <c r="B173">
        <f t="shared" si="9"/>
        <v>100</v>
      </c>
      <c r="C173">
        <v>21.24</v>
      </c>
      <c r="D173">
        <v>11.8</v>
      </c>
      <c r="E173">
        <v>2.19</v>
      </c>
      <c r="F173" s="2">
        <v>39.002631050175339</v>
      </c>
      <c r="G173" s="2">
        <v>48.866427988135925</v>
      </c>
      <c r="H173">
        <v>4.07</v>
      </c>
      <c r="I173">
        <v>0</v>
      </c>
      <c r="J173" s="2">
        <v>3.114222180409385</v>
      </c>
    </row>
    <row r="174" spans="1:10" x14ac:dyDescent="0.25">
      <c r="A174" s="1">
        <v>45758</v>
      </c>
      <c r="B174">
        <f t="shared" si="9"/>
        <v>101</v>
      </c>
      <c r="C174">
        <v>24.44</v>
      </c>
      <c r="D174">
        <v>10.77</v>
      </c>
      <c r="E174">
        <v>-1.5</v>
      </c>
      <c r="F174" s="2">
        <v>45.944181960091406</v>
      </c>
      <c r="G174" s="2">
        <v>34.795816358356504</v>
      </c>
      <c r="H174">
        <v>2.16</v>
      </c>
      <c r="I174">
        <v>0</v>
      </c>
      <c r="J174" s="2">
        <v>2.7672939348844796</v>
      </c>
    </row>
    <row r="175" spans="1:10" x14ac:dyDescent="0.25">
      <c r="A175" s="1">
        <v>45759</v>
      </c>
      <c r="B175">
        <f t="shared" si="9"/>
        <v>102</v>
      </c>
      <c r="C175">
        <v>22.12</v>
      </c>
      <c r="D175">
        <v>15.8</v>
      </c>
      <c r="E175">
        <v>-3.84</v>
      </c>
      <c r="F175" s="2">
        <v>71.768173546959162</v>
      </c>
      <c r="G175" s="2">
        <v>32.519326857509171</v>
      </c>
      <c r="H175">
        <v>1.31</v>
      </c>
      <c r="I175">
        <v>0</v>
      </c>
      <c r="J175" s="2">
        <v>2.6205758771368872</v>
      </c>
    </row>
    <row r="176" spans="1:10" x14ac:dyDescent="0.25">
      <c r="A176" s="1">
        <v>45760</v>
      </c>
      <c r="B176">
        <f t="shared" si="9"/>
        <v>103</v>
      </c>
      <c r="C176">
        <v>7.45</v>
      </c>
      <c r="D176">
        <v>14.05</v>
      </c>
      <c r="E176">
        <v>5.19</v>
      </c>
      <c r="F176" s="2">
        <v>55.55648066405108</v>
      </c>
      <c r="G176" s="2">
        <v>52.484094259460193</v>
      </c>
      <c r="H176">
        <v>3.07</v>
      </c>
      <c r="I176">
        <v>0</v>
      </c>
      <c r="J176" s="2">
        <v>2.2426159430447177</v>
      </c>
    </row>
    <row r="177" spans="1:10" x14ac:dyDescent="0.25">
      <c r="A177" s="1">
        <v>45761</v>
      </c>
      <c r="B177">
        <f t="shared" si="9"/>
        <v>104</v>
      </c>
      <c r="C177">
        <v>7.52</v>
      </c>
      <c r="D177">
        <v>14.49</v>
      </c>
      <c r="E177">
        <v>5.52</v>
      </c>
      <c r="F177" s="2">
        <v>74.139468414656179</v>
      </c>
      <c r="G177" s="2">
        <v>68.267892893164131</v>
      </c>
      <c r="H177">
        <v>1.35</v>
      </c>
      <c r="I177">
        <v>0</v>
      </c>
      <c r="J177" s="2">
        <v>1.4843887376767317</v>
      </c>
    </row>
    <row r="178" spans="1:10" x14ac:dyDescent="0.25">
      <c r="A178" s="1">
        <v>45762</v>
      </c>
      <c r="B178">
        <f t="shared" si="9"/>
        <v>105</v>
      </c>
      <c r="C178">
        <v>16.23</v>
      </c>
      <c r="D178">
        <v>21.51</v>
      </c>
      <c r="E178">
        <v>5.13</v>
      </c>
      <c r="F178" s="2">
        <v>86.451778436998467</v>
      </c>
      <c r="G178" s="2">
        <v>53.16427747397239</v>
      </c>
      <c r="H178">
        <v>1.2</v>
      </c>
      <c r="I178">
        <v>0</v>
      </c>
      <c r="J178" s="2">
        <v>2.5538891195985061</v>
      </c>
    </row>
    <row r="179" spans="1:10" x14ac:dyDescent="0.25">
      <c r="A179" s="1">
        <v>45763</v>
      </c>
      <c r="B179">
        <f t="shared" si="9"/>
        <v>106</v>
      </c>
      <c r="C179">
        <v>12.12</v>
      </c>
      <c r="D179">
        <v>21.48</v>
      </c>
      <c r="E179">
        <v>9.67</v>
      </c>
      <c r="F179" s="2">
        <v>50.338804821174257</v>
      </c>
      <c r="G179" s="2">
        <v>53.438413021181752</v>
      </c>
      <c r="H179">
        <v>2.48</v>
      </c>
      <c r="I179">
        <v>0</v>
      </c>
      <c r="J179" s="2">
        <v>2.9964483253354093</v>
      </c>
    </row>
    <row r="180" spans="1:10" x14ac:dyDescent="0.25">
      <c r="A180" s="1">
        <v>45764</v>
      </c>
      <c r="B180">
        <f t="shared" si="9"/>
        <v>107</v>
      </c>
      <c r="C180">
        <v>21.66</v>
      </c>
      <c r="D180">
        <v>18.05</v>
      </c>
      <c r="E180">
        <v>4.12</v>
      </c>
      <c r="F180" s="2">
        <v>48.538151304770935</v>
      </c>
      <c r="G180" s="2">
        <v>41.546140100174668</v>
      </c>
      <c r="H180">
        <v>1.44</v>
      </c>
      <c r="I180">
        <v>0</v>
      </c>
      <c r="J180" s="2">
        <v>3.0768090890341524</v>
      </c>
    </row>
    <row r="181" spans="1:10" x14ac:dyDescent="0.25">
      <c r="A181" s="1">
        <v>45765</v>
      </c>
      <c r="B181">
        <f t="shared" si="9"/>
        <v>108</v>
      </c>
      <c r="C181">
        <v>12.45</v>
      </c>
      <c r="D181">
        <v>17.100000000000001</v>
      </c>
      <c r="E181">
        <v>2.98</v>
      </c>
      <c r="F181" s="2">
        <v>74.481936473020824</v>
      </c>
      <c r="G181" s="2">
        <v>52.157516608200261</v>
      </c>
      <c r="H181">
        <v>0.95</v>
      </c>
      <c r="I181">
        <v>0</v>
      </c>
      <c r="J181" s="2">
        <v>1.9728102501268585</v>
      </c>
    </row>
    <row r="182" spans="1:10" x14ac:dyDescent="0.25">
      <c r="A182" s="1">
        <v>45766</v>
      </c>
      <c r="B182">
        <f t="shared" si="9"/>
        <v>109</v>
      </c>
      <c r="C182">
        <v>8.5</v>
      </c>
      <c r="D182">
        <v>17.52</v>
      </c>
      <c r="E182">
        <v>9.3800000000000008</v>
      </c>
      <c r="F182" s="2">
        <v>77.9722777473185</v>
      </c>
      <c r="G182" s="2">
        <v>75.432969794875433</v>
      </c>
      <c r="H182">
        <v>1.98</v>
      </c>
      <c r="I182">
        <v>1.78</v>
      </c>
      <c r="J182" s="2">
        <v>1.7573241985666526</v>
      </c>
    </row>
    <row r="183" spans="1:10" x14ac:dyDescent="0.25">
      <c r="A183" s="1">
        <v>45767</v>
      </c>
      <c r="B183">
        <f t="shared" si="9"/>
        <v>110</v>
      </c>
      <c r="C183">
        <v>23.04</v>
      </c>
      <c r="D183">
        <v>17.190000000000001</v>
      </c>
      <c r="E183">
        <v>3.32</v>
      </c>
      <c r="F183" s="2">
        <v>68.595785935161686</v>
      </c>
      <c r="G183" s="2">
        <v>73.327991607269013</v>
      </c>
      <c r="H183">
        <v>5.49</v>
      </c>
      <c r="I183">
        <v>0.25</v>
      </c>
      <c r="J183" s="2">
        <v>3.0269012491191916</v>
      </c>
    </row>
    <row r="184" spans="1:10" x14ac:dyDescent="0.25">
      <c r="A184" s="1">
        <v>45768</v>
      </c>
      <c r="B184">
        <f t="shared" si="9"/>
        <v>111</v>
      </c>
      <c r="C184">
        <v>21.19</v>
      </c>
      <c r="D184">
        <v>16.45</v>
      </c>
      <c r="E184">
        <v>-0.13</v>
      </c>
      <c r="F184" s="2">
        <v>84.182432705807003</v>
      </c>
      <c r="G184" s="2">
        <v>47.437226801045156</v>
      </c>
      <c r="H184">
        <v>1.22</v>
      </c>
      <c r="I184">
        <v>0</v>
      </c>
      <c r="J184" s="2">
        <v>2.649936240753374</v>
      </c>
    </row>
    <row r="185" spans="1:10" x14ac:dyDescent="0.25">
      <c r="A185" s="1">
        <v>45769</v>
      </c>
      <c r="B185">
        <f t="shared" si="9"/>
        <v>112</v>
      </c>
      <c r="C185">
        <v>16.36</v>
      </c>
      <c r="D185">
        <v>17.45</v>
      </c>
      <c r="E185">
        <v>5.1100000000000003</v>
      </c>
      <c r="F185" s="2">
        <v>70.760002632546488</v>
      </c>
      <c r="G185" s="2">
        <v>64.24166225738594</v>
      </c>
      <c r="H185">
        <v>1.3</v>
      </c>
      <c r="I185">
        <v>9.4</v>
      </c>
      <c r="J185" s="2">
        <v>2.4050677579503743</v>
      </c>
    </row>
    <row r="186" spans="1:10" x14ac:dyDescent="0.25">
      <c r="A186" s="1">
        <v>45770</v>
      </c>
      <c r="B186">
        <f t="shared" si="9"/>
        <v>113</v>
      </c>
      <c r="C186">
        <v>16.420000000000002</v>
      </c>
      <c r="D186">
        <v>16.91</v>
      </c>
      <c r="E186">
        <v>5.46</v>
      </c>
      <c r="F186" s="2">
        <v>71.088135887923571</v>
      </c>
      <c r="G186" s="2">
        <v>59.990464730667092</v>
      </c>
      <c r="H186">
        <v>1.66</v>
      </c>
      <c r="I186">
        <v>0.25</v>
      </c>
      <c r="J186" s="2">
        <v>2.5169476924003273</v>
      </c>
    </row>
    <row r="187" spans="1:10" x14ac:dyDescent="0.25">
      <c r="A187" s="1">
        <v>45771</v>
      </c>
      <c r="B187">
        <f t="shared" si="9"/>
        <v>114</v>
      </c>
      <c r="C187">
        <v>20.239999999999998</v>
      </c>
      <c r="D187">
        <v>17.2</v>
      </c>
      <c r="E187">
        <v>1.55</v>
      </c>
      <c r="F187" s="2">
        <v>95.840202103765009</v>
      </c>
      <c r="G187" s="2">
        <v>54.739957680334449</v>
      </c>
      <c r="H187">
        <v>0.99</v>
      </c>
      <c r="I187">
        <v>0</v>
      </c>
      <c r="J187" s="2">
        <v>2.5760720645394688</v>
      </c>
    </row>
    <row r="188" spans="1:10" x14ac:dyDescent="0.25">
      <c r="A188" s="1">
        <v>45772</v>
      </c>
      <c r="B188">
        <f t="shared" si="9"/>
        <v>115</v>
      </c>
      <c r="C188">
        <v>21.33</v>
      </c>
      <c r="D188">
        <v>19.350000000000001</v>
      </c>
      <c r="E188">
        <v>5.15</v>
      </c>
      <c r="F188" s="2">
        <v>95.624827765466549</v>
      </c>
      <c r="G188" s="2">
        <v>58.879811505932402</v>
      </c>
      <c r="H188">
        <v>1.0900000000000001</v>
      </c>
      <c r="I188">
        <v>0</v>
      </c>
      <c r="J188" s="2">
        <v>2.9082230164801919</v>
      </c>
    </row>
    <row r="189" spans="1:10" x14ac:dyDescent="0.25">
      <c r="A189" s="1">
        <v>45773</v>
      </c>
      <c r="B189">
        <f t="shared" si="9"/>
        <v>116</v>
      </c>
      <c r="C189">
        <v>19.91</v>
      </c>
      <c r="D189">
        <v>22.43</v>
      </c>
      <c r="E189">
        <v>8.2799999999999994</v>
      </c>
      <c r="F189" s="2">
        <v>82.895023485249368</v>
      </c>
      <c r="G189" s="2">
        <v>57.764666814430043</v>
      </c>
      <c r="H189">
        <v>0.92</v>
      </c>
      <c r="I189">
        <v>0</v>
      </c>
      <c r="J189" s="2">
        <v>3.0627507558053613</v>
      </c>
    </row>
    <row r="190" spans="1:10" x14ac:dyDescent="0.25">
      <c r="A190" s="1">
        <v>45774</v>
      </c>
      <c r="B190">
        <f t="shared" si="9"/>
        <v>117</v>
      </c>
      <c r="C190">
        <v>24.68</v>
      </c>
      <c r="D190">
        <v>17.84</v>
      </c>
      <c r="E190">
        <v>6.5</v>
      </c>
      <c r="F190" s="2">
        <v>44.344079518432608</v>
      </c>
      <c r="G190" s="2">
        <v>63.05831257769966</v>
      </c>
      <c r="H190">
        <v>3.56</v>
      </c>
      <c r="I190">
        <v>0</v>
      </c>
      <c r="J190" s="2">
        <v>3.8074367167800234</v>
      </c>
    </row>
    <row r="191" spans="1:10" x14ac:dyDescent="0.25">
      <c r="A191" s="1">
        <v>45775</v>
      </c>
      <c r="B191">
        <f t="shared" si="9"/>
        <v>118</v>
      </c>
      <c r="C191">
        <v>17.13</v>
      </c>
      <c r="D191">
        <v>15.26</v>
      </c>
      <c r="E191">
        <v>4.59</v>
      </c>
      <c r="F191" s="2">
        <v>86.333754727607612</v>
      </c>
      <c r="G191" s="2">
        <v>58.171805486486292</v>
      </c>
      <c r="H191">
        <v>1.4</v>
      </c>
      <c r="I191">
        <v>0</v>
      </c>
      <c r="J191" s="2">
        <v>2.4027164104315686</v>
      </c>
    </row>
    <row r="192" spans="1:10" x14ac:dyDescent="0.25">
      <c r="A192" s="1">
        <v>45776</v>
      </c>
      <c r="B192">
        <f t="shared" si="9"/>
        <v>119</v>
      </c>
      <c r="C192">
        <v>23.08</v>
      </c>
      <c r="D192">
        <v>18.13</v>
      </c>
      <c r="E192">
        <v>4.07</v>
      </c>
      <c r="F192" s="2">
        <v>54.134415584519267</v>
      </c>
      <c r="G192" s="2">
        <v>50.785235638850622</v>
      </c>
      <c r="H192">
        <v>2.59</v>
      </c>
      <c r="I192">
        <v>0</v>
      </c>
      <c r="J192" s="2">
        <v>3.5750848722538349</v>
      </c>
    </row>
    <row r="193" spans="1:10" x14ac:dyDescent="0.25">
      <c r="A193" s="1">
        <v>45777</v>
      </c>
      <c r="B193">
        <f t="shared" si="9"/>
        <v>120</v>
      </c>
      <c r="C193">
        <v>25.47</v>
      </c>
      <c r="D193">
        <v>16.55</v>
      </c>
      <c r="E193">
        <v>3.17</v>
      </c>
      <c r="F193" s="2">
        <v>62.846183987488722</v>
      </c>
      <c r="G193" s="2">
        <v>58.180541303884446</v>
      </c>
      <c r="H193">
        <v>4.8499999999999996</v>
      </c>
      <c r="I193">
        <v>0.51</v>
      </c>
      <c r="J193" s="2">
        <v>3.6767915750622056</v>
      </c>
    </row>
    <row r="194" spans="1:10" x14ac:dyDescent="0.25">
      <c r="A194" s="1">
        <v>45778</v>
      </c>
      <c r="B194">
        <f t="shared" si="9"/>
        <v>121</v>
      </c>
      <c r="C194">
        <v>27.04</v>
      </c>
      <c r="D194">
        <v>15.82</v>
      </c>
      <c r="E194">
        <v>2.09</v>
      </c>
      <c r="F194" s="2">
        <v>52.96117565573153</v>
      </c>
      <c r="G194" s="2">
        <v>41.888480983192203</v>
      </c>
      <c r="H194">
        <v>1.89</v>
      </c>
      <c r="I194">
        <v>0</v>
      </c>
      <c r="J194" s="2">
        <v>3.5547716710354367</v>
      </c>
    </row>
    <row r="195" spans="1:10" x14ac:dyDescent="0.25">
      <c r="A195" s="1">
        <v>45779</v>
      </c>
      <c r="B195">
        <f t="shared" si="9"/>
        <v>122</v>
      </c>
      <c r="C195">
        <v>21.61</v>
      </c>
      <c r="D195">
        <v>17.55</v>
      </c>
      <c r="E195">
        <v>0.46</v>
      </c>
      <c r="F195" s="2">
        <v>79.458230513083024</v>
      </c>
      <c r="G195" s="2">
        <v>40.649469853836415</v>
      </c>
      <c r="H195">
        <v>1.48</v>
      </c>
      <c r="I195">
        <v>0</v>
      </c>
      <c r="J195" s="2">
        <v>3.0373940196784752</v>
      </c>
    </row>
    <row r="196" spans="1:10" x14ac:dyDescent="0.25">
      <c r="A196" s="1">
        <v>45780</v>
      </c>
      <c r="B196">
        <f t="shared" si="9"/>
        <v>123</v>
      </c>
      <c r="C196">
        <v>7.4</v>
      </c>
      <c r="D196">
        <v>15.14</v>
      </c>
      <c r="E196">
        <v>7.48</v>
      </c>
      <c r="F196" s="2">
        <v>60.821600254359822</v>
      </c>
      <c r="G196" s="2">
        <v>67.944265385158261</v>
      </c>
      <c r="H196">
        <v>1.63</v>
      </c>
      <c r="I196">
        <v>1.52</v>
      </c>
      <c r="J196" s="2">
        <v>1.7633516793388129</v>
      </c>
    </row>
    <row r="197" spans="1:10" x14ac:dyDescent="0.25">
      <c r="A197" s="1">
        <v>45781</v>
      </c>
      <c r="B197">
        <f t="shared" si="9"/>
        <v>124</v>
      </c>
      <c r="C197">
        <v>24.12</v>
      </c>
      <c r="D197">
        <v>20.51</v>
      </c>
      <c r="E197">
        <v>7.87</v>
      </c>
      <c r="F197" s="2">
        <v>68.043636168356997</v>
      </c>
      <c r="G197" s="2">
        <v>45.650236758060622</v>
      </c>
      <c r="H197">
        <v>1.85</v>
      </c>
      <c r="I197">
        <v>0.25</v>
      </c>
      <c r="J197" s="2">
        <v>3.8424240455876411</v>
      </c>
    </row>
    <row r="198" spans="1:10" x14ac:dyDescent="0.25">
      <c r="A198" s="1">
        <v>45782</v>
      </c>
      <c r="B198">
        <f t="shared" si="9"/>
        <v>125</v>
      </c>
      <c r="C198">
        <v>20.86</v>
      </c>
      <c r="D198">
        <v>22.86</v>
      </c>
      <c r="E198">
        <v>6.91</v>
      </c>
      <c r="F198" s="2">
        <v>58.889243408832712</v>
      </c>
      <c r="G198" s="2">
        <v>44.465844474583818</v>
      </c>
      <c r="H198">
        <v>2.23</v>
      </c>
      <c r="I198">
        <v>0</v>
      </c>
      <c r="J198" s="2">
        <v>3.9329585363979684</v>
      </c>
    </row>
    <row r="199" spans="1:10" x14ac:dyDescent="0.25">
      <c r="A199" s="1">
        <v>45783</v>
      </c>
      <c r="B199">
        <f t="shared" si="9"/>
        <v>126</v>
      </c>
      <c r="C199">
        <v>28.39</v>
      </c>
      <c r="D199">
        <v>20.11</v>
      </c>
      <c r="E199">
        <v>6.41</v>
      </c>
      <c r="F199" s="2">
        <v>51.739440003339396</v>
      </c>
      <c r="G199" s="2">
        <v>39.336696618917735</v>
      </c>
      <c r="H199">
        <v>3.79</v>
      </c>
      <c r="I199">
        <v>0</v>
      </c>
      <c r="J199" s="2">
        <v>4.9213750483206624</v>
      </c>
    </row>
    <row r="200" spans="1:10" x14ac:dyDescent="0.25">
      <c r="A200" s="1">
        <v>45784</v>
      </c>
      <c r="B200">
        <f t="shared" si="9"/>
        <v>127</v>
      </c>
      <c r="C200">
        <v>28.5</v>
      </c>
      <c r="D200">
        <v>19</v>
      </c>
      <c r="E200">
        <v>1.76</v>
      </c>
      <c r="F200" s="2">
        <v>75.869392132681313</v>
      </c>
      <c r="G200" s="2">
        <v>43.297583552814409</v>
      </c>
      <c r="H200">
        <v>1.52</v>
      </c>
      <c r="I200">
        <v>0</v>
      </c>
      <c r="J200" s="2">
        <v>3.7974118447429062</v>
      </c>
    </row>
    <row r="201" spans="1:10" x14ac:dyDescent="0.25">
      <c r="A201" s="1">
        <v>45785</v>
      </c>
      <c r="B201">
        <f t="shared" si="9"/>
        <v>128</v>
      </c>
      <c r="C201">
        <v>27.82</v>
      </c>
      <c r="D201">
        <v>23.38</v>
      </c>
      <c r="E201">
        <v>2.85</v>
      </c>
      <c r="F201" s="2">
        <v>82.24255520512375</v>
      </c>
      <c r="G201" s="2">
        <v>42.602413972181665</v>
      </c>
      <c r="H201">
        <v>1.08</v>
      </c>
      <c r="I201">
        <v>0</v>
      </c>
      <c r="J201" s="2">
        <v>4.0077018211295439</v>
      </c>
    </row>
    <row r="202" spans="1:10" x14ac:dyDescent="0.25">
      <c r="A202" s="1">
        <v>45786</v>
      </c>
      <c r="B202">
        <f t="shared" si="9"/>
        <v>129</v>
      </c>
      <c r="C202">
        <v>23.4</v>
      </c>
      <c r="D202">
        <v>27.7</v>
      </c>
      <c r="E202">
        <v>10.53</v>
      </c>
      <c r="F202" s="2">
        <v>45.784862841704125</v>
      </c>
      <c r="G202" s="2">
        <v>34.481320736133902</v>
      </c>
      <c r="H202">
        <v>1.22</v>
      </c>
      <c r="I202">
        <v>0</v>
      </c>
      <c r="J202" s="2">
        <v>4.3586739437920494</v>
      </c>
    </row>
    <row r="203" spans="1:10" x14ac:dyDescent="0.25">
      <c r="A203" s="1">
        <v>45787</v>
      </c>
      <c r="B203">
        <f t="shared" ref="B203:B266" si="10">A203-DATE(YEAR(A203),1,1)+1</f>
        <v>130</v>
      </c>
      <c r="C203">
        <v>28.66</v>
      </c>
      <c r="D203">
        <v>27.05</v>
      </c>
      <c r="E203">
        <v>8.09</v>
      </c>
      <c r="F203" s="2">
        <v>56.506653643035207</v>
      </c>
      <c r="G203" s="2">
        <v>35.3429426238635</v>
      </c>
      <c r="H203">
        <v>1.54</v>
      </c>
      <c r="I203">
        <v>0</v>
      </c>
      <c r="J203" s="2">
        <v>4.9530542857874353</v>
      </c>
    </row>
    <row r="204" spans="1:10" x14ac:dyDescent="0.25">
      <c r="A204" s="1">
        <v>45788</v>
      </c>
      <c r="B204">
        <f t="shared" si="10"/>
        <v>131</v>
      </c>
      <c r="C204">
        <v>28.31</v>
      </c>
      <c r="D204">
        <v>28.5</v>
      </c>
      <c r="E204">
        <v>6.63</v>
      </c>
      <c r="F204" s="2">
        <v>56.612254668204351</v>
      </c>
      <c r="G204" s="2">
        <v>32.4985355983668</v>
      </c>
      <c r="H204">
        <v>1.45</v>
      </c>
      <c r="I204">
        <v>0</v>
      </c>
      <c r="J204" s="2">
        <v>4.9927308425536552</v>
      </c>
    </row>
    <row r="205" spans="1:10" x14ac:dyDescent="0.25">
      <c r="A205" s="1">
        <v>45789</v>
      </c>
      <c r="B205">
        <f t="shared" si="10"/>
        <v>132</v>
      </c>
      <c r="C205">
        <v>27.23</v>
      </c>
      <c r="D205">
        <v>30.84</v>
      </c>
      <c r="E205">
        <v>8.56</v>
      </c>
      <c r="F205" s="2">
        <v>55.694660590640787</v>
      </c>
      <c r="G205" s="2">
        <v>37.718730022812643</v>
      </c>
      <c r="H205">
        <v>1.1599999999999999</v>
      </c>
      <c r="I205">
        <v>0</v>
      </c>
      <c r="J205" s="2">
        <v>4.9357223538342065</v>
      </c>
    </row>
    <row r="206" spans="1:10" x14ac:dyDescent="0.25">
      <c r="A206" s="1">
        <v>45790</v>
      </c>
      <c r="B206">
        <f t="shared" si="10"/>
        <v>133</v>
      </c>
      <c r="C206">
        <v>26.99</v>
      </c>
      <c r="D206">
        <v>31.41</v>
      </c>
      <c r="E206">
        <v>12.29</v>
      </c>
      <c r="F206" s="2">
        <v>56.368478033447964</v>
      </c>
      <c r="G206" s="2">
        <v>39.844726684588835</v>
      </c>
      <c r="H206">
        <v>1.3</v>
      </c>
      <c r="I206">
        <v>0</v>
      </c>
      <c r="J206" s="2">
        <v>5.177234956672871</v>
      </c>
    </row>
    <row r="207" spans="1:10" x14ac:dyDescent="0.25">
      <c r="A207" s="1">
        <v>45791</v>
      </c>
      <c r="B207">
        <f t="shared" si="10"/>
        <v>134</v>
      </c>
      <c r="C207">
        <v>23.71</v>
      </c>
      <c r="D207">
        <v>29.36</v>
      </c>
      <c r="E207">
        <v>13.38</v>
      </c>
      <c r="F207" s="2">
        <v>67.524630547009338</v>
      </c>
      <c r="G207" s="2">
        <v>45.376289508765375</v>
      </c>
      <c r="H207">
        <v>1.1100000000000001</v>
      </c>
      <c r="I207">
        <v>0</v>
      </c>
      <c r="J207" s="2">
        <v>4.487118507779253</v>
      </c>
    </row>
    <row r="208" spans="1:10" x14ac:dyDescent="0.25">
      <c r="A208" s="1">
        <v>45792</v>
      </c>
      <c r="B208">
        <f t="shared" si="10"/>
        <v>135</v>
      </c>
      <c r="C208">
        <v>26.73</v>
      </c>
      <c r="D208">
        <v>30.56</v>
      </c>
      <c r="E208">
        <v>12.8</v>
      </c>
      <c r="F208" s="2">
        <v>80.866064901728421</v>
      </c>
      <c r="G208" s="2">
        <v>39.707209597856021</v>
      </c>
      <c r="H208">
        <v>1.44</v>
      </c>
      <c r="I208">
        <v>0</v>
      </c>
      <c r="J208" s="2">
        <v>5.1368164200590334</v>
      </c>
    </row>
    <row r="209" spans="1:10" x14ac:dyDescent="0.25">
      <c r="A209" s="1">
        <v>45793</v>
      </c>
      <c r="B209">
        <f t="shared" si="10"/>
        <v>136</v>
      </c>
      <c r="C209">
        <v>28.22</v>
      </c>
      <c r="D209">
        <v>30.52</v>
      </c>
      <c r="E209">
        <v>11.81</v>
      </c>
      <c r="F209" s="2">
        <v>69.261658127359411</v>
      </c>
      <c r="G209" s="2">
        <v>38.937300467589338</v>
      </c>
      <c r="H209">
        <v>1.57</v>
      </c>
      <c r="I209">
        <v>0</v>
      </c>
      <c r="J209" s="2">
        <v>5.3999957839235808</v>
      </c>
    </row>
    <row r="210" spans="1:10" x14ac:dyDescent="0.25">
      <c r="A210" s="1">
        <v>45794</v>
      </c>
      <c r="B210">
        <f t="shared" si="10"/>
        <v>137</v>
      </c>
      <c r="C210">
        <v>28.74</v>
      </c>
      <c r="D210">
        <v>27.53</v>
      </c>
      <c r="E210">
        <v>10.74</v>
      </c>
      <c r="F210" s="2">
        <v>34.603478621087483</v>
      </c>
      <c r="G210" s="2">
        <v>36.363563111808986</v>
      </c>
      <c r="H210">
        <v>2.2400000000000002</v>
      </c>
      <c r="I210">
        <v>0</v>
      </c>
      <c r="J210" s="2">
        <v>5.6779439638619476</v>
      </c>
    </row>
    <row r="211" spans="1:10" x14ac:dyDescent="0.25">
      <c r="A211" s="1">
        <v>45795</v>
      </c>
      <c r="B211">
        <f t="shared" si="10"/>
        <v>138</v>
      </c>
      <c r="C211">
        <v>29.96</v>
      </c>
      <c r="D211">
        <v>23.95</v>
      </c>
      <c r="E211">
        <v>9.34</v>
      </c>
      <c r="F211" s="2">
        <v>41.062825036664478</v>
      </c>
      <c r="G211" s="2">
        <v>29.178665280628181</v>
      </c>
      <c r="H211">
        <v>1.9</v>
      </c>
      <c r="I211">
        <v>0</v>
      </c>
      <c r="J211" s="2">
        <v>5.2248431553768073</v>
      </c>
    </row>
    <row r="212" spans="1:10" x14ac:dyDescent="0.25">
      <c r="A212" s="1">
        <v>45796</v>
      </c>
      <c r="B212">
        <f t="shared" si="10"/>
        <v>139</v>
      </c>
      <c r="C212">
        <v>28.81</v>
      </c>
      <c r="D212">
        <v>29.48</v>
      </c>
      <c r="E212">
        <v>6.02</v>
      </c>
      <c r="F212" s="2">
        <v>51.090161712003791</v>
      </c>
      <c r="G212" s="2">
        <v>26.049835416627854</v>
      </c>
      <c r="H212">
        <v>2.5499999999999998</v>
      </c>
      <c r="I212">
        <v>0</v>
      </c>
      <c r="J212" s="2">
        <v>6.1051200613825873</v>
      </c>
    </row>
    <row r="213" spans="1:10" x14ac:dyDescent="0.25">
      <c r="A213" s="1">
        <v>45797</v>
      </c>
      <c r="B213">
        <f t="shared" si="10"/>
        <v>140</v>
      </c>
      <c r="C213">
        <v>28.18</v>
      </c>
      <c r="D213">
        <v>20.88</v>
      </c>
      <c r="E213">
        <v>6.28</v>
      </c>
      <c r="F213" s="2">
        <v>46.440727307240039</v>
      </c>
      <c r="G213" s="2">
        <v>35.211226062321515</v>
      </c>
      <c r="H213">
        <v>2.46</v>
      </c>
      <c r="I213">
        <v>0</v>
      </c>
      <c r="J213" s="2">
        <v>4.7995383117897923</v>
      </c>
    </row>
    <row r="214" spans="1:10" x14ac:dyDescent="0.25">
      <c r="A214" s="1">
        <v>45798</v>
      </c>
      <c r="B214">
        <f t="shared" si="10"/>
        <v>141</v>
      </c>
      <c r="C214">
        <v>29.11</v>
      </c>
      <c r="D214">
        <v>22.21</v>
      </c>
      <c r="E214">
        <v>4.29</v>
      </c>
      <c r="F214" s="2">
        <v>68.856080548675607</v>
      </c>
      <c r="G214" s="2">
        <v>45.670318676741253</v>
      </c>
      <c r="H214">
        <v>1.18</v>
      </c>
      <c r="I214">
        <v>0</v>
      </c>
      <c r="J214" s="2">
        <v>4.2569675057984568</v>
      </c>
    </row>
    <row r="215" spans="1:10" x14ac:dyDescent="0.25">
      <c r="A215" s="1">
        <v>45799</v>
      </c>
      <c r="B215">
        <f t="shared" si="10"/>
        <v>142</v>
      </c>
      <c r="C215">
        <v>22.85</v>
      </c>
      <c r="D215">
        <v>23.67</v>
      </c>
      <c r="E215">
        <v>4.74</v>
      </c>
      <c r="F215" s="2">
        <v>69.154413725532635</v>
      </c>
      <c r="G215" s="2">
        <v>40.048110723330602</v>
      </c>
      <c r="H215">
        <v>1.93</v>
      </c>
      <c r="I215">
        <v>0</v>
      </c>
      <c r="J215" s="2">
        <v>4.1483818214249002</v>
      </c>
    </row>
    <row r="216" spans="1:10" x14ac:dyDescent="0.25">
      <c r="A216" s="1">
        <v>45800</v>
      </c>
      <c r="B216">
        <f t="shared" si="10"/>
        <v>143</v>
      </c>
      <c r="C216">
        <v>20.45</v>
      </c>
      <c r="D216">
        <v>20.58</v>
      </c>
      <c r="E216">
        <v>9.7200000000000006</v>
      </c>
      <c r="F216" s="2">
        <v>62.745593024200829</v>
      </c>
      <c r="G216" s="2">
        <v>61.598513452278091</v>
      </c>
      <c r="H216">
        <v>1.6</v>
      </c>
      <c r="I216">
        <v>0.51</v>
      </c>
      <c r="J216" s="2">
        <v>3.4824557074112077</v>
      </c>
    </row>
    <row r="217" spans="1:10" x14ac:dyDescent="0.25">
      <c r="A217" s="1">
        <v>45801</v>
      </c>
      <c r="B217">
        <f t="shared" si="10"/>
        <v>144</v>
      </c>
      <c r="C217">
        <v>24.4</v>
      </c>
      <c r="D217">
        <v>20.2</v>
      </c>
      <c r="E217">
        <v>4.9800000000000004</v>
      </c>
      <c r="F217" s="2">
        <v>89.174872894948535</v>
      </c>
      <c r="G217" s="2">
        <v>50.360259453421421</v>
      </c>
      <c r="H217">
        <v>2.13</v>
      </c>
      <c r="I217">
        <v>0</v>
      </c>
      <c r="J217" s="2">
        <v>3.7790490138447144</v>
      </c>
    </row>
    <row r="218" spans="1:10" x14ac:dyDescent="0.25">
      <c r="A218" s="1">
        <v>45802</v>
      </c>
      <c r="B218">
        <f t="shared" si="10"/>
        <v>145</v>
      </c>
      <c r="C218">
        <v>10.37</v>
      </c>
      <c r="D218">
        <v>17.55</v>
      </c>
      <c r="E218">
        <v>10.09</v>
      </c>
      <c r="F218" s="2">
        <v>66.903745364288596</v>
      </c>
      <c r="G218" s="2">
        <v>70.138522089736441</v>
      </c>
      <c r="H218">
        <v>1.87</v>
      </c>
      <c r="I218">
        <v>1.27</v>
      </c>
      <c r="J218" s="2">
        <v>2.2333839610234509</v>
      </c>
    </row>
    <row r="219" spans="1:10" x14ac:dyDescent="0.25">
      <c r="A219" s="1">
        <v>45803</v>
      </c>
      <c r="B219">
        <f t="shared" si="10"/>
        <v>146</v>
      </c>
      <c r="C219">
        <v>17.93</v>
      </c>
      <c r="D219">
        <v>20.5</v>
      </c>
      <c r="E219">
        <v>10.91</v>
      </c>
      <c r="F219" s="2">
        <v>81.542474451696563</v>
      </c>
      <c r="G219" s="2">
        <v>64.417829405745451</v>
      </c>
      <c r="H219">
        <v>0.99</v>
      </c>
      <c r="I219">
        <v>0</v>
      </c>
      <c r="J219" s="2">
        <v>3.0190180635824295</v>
      </c>
    </row>
    <row r="220" spans="1:10" x14ac:dyDescent="0.25">
      <c r="A220" s="1">
        <v>45804</v>
      </c>
      <c r="B220">
        <f t="shared" si="10"/>
        <v>147</v>
      </c>
      <c r="C220">
        <v>19.059999999999999</v>
      </c>
      <c r="D220">
        <v>23.74</v>
      </c>
      <c r="E220">
        <v>10.029999999999999</v>
      </c>
      <c r="F220" s="2">
        <v>93.431515203063881</v>
      </c>
      <c r="G220" s="2">
        <v>62.57089985388</v>
      </c>
      <c r="H220">
        <v>0.7</v>
      </c>
      <c r="I220">
        <v>0</v>
      </c>
      <c r="J220" s="2">
        <v>3.225584458967683</v>
      </c>
    </row>
    <row r="221" spans="1:10" x14ac:dyDescent="0.25">
      <c r="A221" s="1">
        <v>45805</v>
      </c>
      <c r="B221">
        <f t="shared" si="10"/>
        <v>148</v>
      </c>
      <c r="C221">
        <v>13.28</v>
      </c>
      <c r="D221">
        <v>23.03</v>
      </c>
      <c r="E221">
        <v>14.81</v>
      </c>
      <c r="F221" s="2">
        <v>82.275040975829967</v>
      </c>
      <c r="G221" s="2">
        <v>66.993277571228788</v>
      </c>
      <c r="H221">
        <v>0.71</v>
      </c>
      <c r="I221">
        <v>0</v>
      </c>
      <c r="J221" s="2">
        <v>2.5962759086421974</v>
      </c>
    </row>
    <row r="222" spans="1:10" x14ac:dyDescent="0.25">
      <c r="A222" s="1">
        <v>45806</v>
      </c>
      <c r="B222">
        <f t="shared" si="10"/>
        <v>149</v>
      </c>
      <c r="C222">
        <v>24.64</v>
      </c>
      <c r="D222">
        <v>27.38</v>
      </c>
      <c r="E222">
        <v>14.09</v>
      </c>
      <c r="F222" s="2">
        <v>85.45891501713767</v>
      </c>
      <c r="G222" s="2">
        <v>56.473659631645923</v>
      </c>
      <c r="H222">
        <v>1.02</v>
      </c>
      <c r="I222">
        <v>0</v>
      </c>
      <c r="J222" s="2">
        <v>4.4575900971788318</v>
      </c>
    </row>
    <row r="223" spans="1:10" x14ac:dyDescent="0.25">
      <c r="A223" s="1">
        <v>45807</v>
      </c>
      <c r="B223">
        <f t="shared" si="10"/>
        <v>150</v>
      </c>
      <c r="C223">
        <v>17.32</v>
      </c>
      <c r="D223">
        <v>26.35</v>
      </c>
      <c r="E223">
        <v>14.05</v>
      </c>
      <c r="F223" s="2">
        <v>87.107189170516122</v>
      </c>
      <c r="G223" s="2">
        <v>60.906781271015795</v>
      </c>
      <c r="H223">
        <v>0.77</v>
      </c>
      <c r="I223">
        <v>0</v>
      </c>
      <c r="J223" s="2">
        <v>3.3040976024215274</v>
      </c>
    </row>
    <row r="224" spans="1:10" x14ac:dyDescent="0.25">
      <c r="A224" s="1">
        <v>45808</v>
      </c>
      <c r="B224">
        <f t="shared" si="10"/>
        <v>151</v>
      </c>
      <c r="C224">
        <v>14</v>
      </c>
      <c r="D224">
        <v>21.71</v>
      </c>
      <c r="E224">
        <v>11.66</v>
      </c>
      <c r="F224" s="2">
        <v>86.23393310412439</v>
      </c>
      <c r="G224" s="2">
        <v>83.649322278628077</v>
      </c>
      <c r="H224">
        <v>2.1800000000000002</v>
      </c>
      <c r="I224">
        <v>9.65</v>
      </c>
      <c r="J224" s="2">
        <v>2.5010918185132649</v>
      </c>
    </row>
    <row r="225" spans="1:10" x14ac:dyDescent="0.25">
      <c r="A225" s="1">
        <v>45809</v>
      </c>
      <c r="B225">
        <f t="shared" si="10"/>
        <v>152</v>
      </c>
      <c r="C225">
        <v>27</v>
      </c>
      <c r="D225">
        <v>21.9</v>
      </c>
      <c r="E225">
        <v>10.039999999999999</v>
      </c>
      <c r="F225" s="2">
        <v>68.077184889103719</v>
      </c>
      <c r="G225" s="2">
        <v>55.703996831374155</v>
      </c>
      <c r="H225">
        <v>2.09</v>
      </c>
      <c r="I225">
        <v>0</v>
      </c>
      <c r="J225" s="2">
        <v>4.4733968188319135</v>
      </c>
    </row>
    <row r="226" spans="1:10" x14ac:dyDescent="0.25">
      <c r="A226" s="1">
        <v>45810</v>
      </c>
      <c r="B226">
        <f t="shared" si="10"/>
        <v>153</v>
      </c>
      <c r="C226">
        <v>29.23</v>
      </c>
      <c r="D226">
        <v>22.72</v>
      </c>
      <c r="E226">
        <v>6.41</v>
      </c>
      <c r="F226" s="2">
        <v>85.616779231644486</v>
      </c>
      <c r="G226" s="2">
        <v>50.409770585076217</v>
      </c>
      <c r="H226">
        <v>1.31</v>
      </c>
      <c r="I226">
        <v>0</v>
      </c>
      <c r="J226" s="2">
        <v>4.4397124216580144</v>
      </c>
    </row>
    <row r="227" spans="1:10" x14ac:dyDescent="0.25">
      <c r="A227" s="1">
        <v>45811</v>
      </c>
      <c r="B227">
        <f t="shared" si="10"/>
        <v>154</v>
      </c>
      <c r="C227">
        <v>12.19</v>
      </c>
      <c r="D227">
        <v>20.72</v>
      </c>
      <c r="E227">
        <v>13.45</v>
      </c>
      <c r="F227" s="2">
        <v>67.217163155741346</v>
      </c>
      <c r="G227" s="2">
        <v>73.436293052279154</v>
      </c>
      <c r="H227">
        <v>1.72</v>
      </c>
      <c r="I227">
        <v>3.05</v>
      </c>
      <c r="J227" s="2">
        <v>2.5945317496206792</v>
      </c>
    </row>
    <row r="228" spans="1:10" x14ac:dyDescent="0.25">
      <c r="A228" s="1">
        <v>45812</v>
      </c>
      <c r="B228">
        <f t="shared" si="10"/>
        <v>155</v>
      </c>
      <c r="C228">
        <v>19.91</v>
      </c>
      <c r="D228">
        <v>20.54</v>
      </c>
      <c r="E228">
        <v>9.94</v>
      </c>
      <c r="F228" s="2">
        <v>81.859585231899416</v>
      </c>
      <c r="G228" s="2">
        <v>61.347628361474364</v>
      </c>
      <c r="H228">
        <v>1.55</v>
      </c>
      <c r="I228">
        <v>2.79</v>
      </c>
      <c r="J228" s="2">
        <v>3.3593707139333415</v>
      </c>
    </row>
    <row r="229" spans="1:10" x14ac:dyDescent="0.25">
      <c r="A229" s="1">
        <v>45813</v>
      </c>
      <c r="B229">
        <f t="shared" si="10"/>
        <v>156</v>
      </c>
      <c r="C229">
        <v>29.49</v>
      </c>
      <c r="D229">
        <v>23.1</v>
      </c>
      <c r="E229">
        <v>8.93</v>
      </c>
      <c r="F229" s="2">
        <v>71.625817855018965</v>
      </c>
      <c r="G229" s="2">
        <v>49.655096343096886</v>
      </c>
      <c r="H229">
        <v>1.41</v>
      </c>
      <c r="I229">
        <v>0</v>
      </c>
      <c r="J229" s="2">
        <v>4.6995740643063915</v>
      </c>
    </row>
    <row r="230" spans="1:10" x14ac:dyDescent="0.25">
      <c r="A230" s="1">
        <v>45814</v>
      </c>
      <c r="B230">
        <f t="shared" si="10"/>
        <v>157</v>
      </c>
      <c r="C230">
        <v>30.85</v>
      </c>
      <c r="D230">
        <v>25.33</v>
      </c>
      <c r="E230">
        <v>8.5299999999999994</v>
      </c>
      <c r="F230" s="2">
        <v>51.503003283455172</v>
      </c>
      <c r="G230" s="2">
        <v>43.101309393078715</v>
      </c>
      <c r="H230">
        <v>1.45</v>
      </c>
      <c r="I230">
        <v>2.29</v>
      </c>
      <c r="J230" s="2">
        <v>5.158928458022948</v>
      </c>
    </row>
    <row r="231" spans="1:10" x14ac:dyDescent="0.25">
      <c r="A231" s="1">
        <v>45815</v>
      </c>
      <c r="B231">
        <f t="shared" si="10"/>
        <v>158</v>
      </c>
      <c r="C231">
        <v>30.41</v>
      </c>
      <c r="D231">
        <v>25.2</v>
      </c>
      <c r="E231">
        <v>9.25</v>
      </c>
      <c r="F231" s="2">
        <v>74.971244125312126</v>
      </c>
      <c r="G231" s="2">
        <v>52.077375360318634</v>
      </c>
      <c r="H231">
        <v>1.83</v>
      </c>
      <c r="I231">
        <v>0</v>
      </c>
      <c r="J231" s="2">
        <v>5.0907691278632292</v>
      </c>
    </row>
    <row r="232" spans="1:10" x14ac:dyDescent="0.25">
      <c r="A232" s="1">
        <v>45816</v>
      </c>
      <c r="B232">
        <f t="shared" si="10"/>
        <v>159</v>
      </c>
      <c r="C232">
        <v>31.71</v>
      </c>
      <c r="D232">
        <v>24.54</v>
      </c>
      <c r="E232">
        <v>6.54</v>
      </c>
      <c r="F232" s="2">
        <v>76.857367596319378</v>
      </c>
      <c r="G232" s="2">
        <v>46.814599925270286</v>
      </c>
      <c r="H232">
        <v>1.1000000000000001</v>
      </c>
      <c r="I232">
        <v>0</v>
      </c>
      <c r="J232" s="2">
        <v>4.8890908404633304</v>
      </c>
    </row>
    <row r="233" spans="1:10" x14ac:dyDescent="0.25">
      <c r="A233" s="1">
        <v>45817</v>
      </c>
      <c r="B233">
        <f t="shared" si="10"/>
        <v>160</v>
      </c>
      <c r="C233">
        <v>30.56</v>
      </c>
      <c r="D233">
        <v>27.45</v>
      </c>
      <c r="E233">
        <v>8.44</v>
      </c>
      <c r="F233" s="2">
        <v>56.723461091164573</v>
      </c>
      <c r="G233" s="2">
        <v>42.800278025891004</v>
      </c>
      <c r="H233">
        <v>0.91</v>
      </c>
      <c r="I233">
        <v>0</v>
      </c>
      <c r="J233" s="2">
        <v>5.0535056321026008</v>
      </c>
    </row>
    <row r="234" spans="1:10" x14ac:dyDescent="0.25">
      <c r="A234" s="1">
        <v>45818</v>
      </c>
      <c r="B234">
        <f t="shared" si="10"/>
        <v>161</v>
      </c>
      <c r="C234">
        <v>25.62</v>
      </c>
      <c r="D234">
        <v>29.25</v>
      </c>
      <c r="E234">
        <v>11.01</v>
      </c>
      <c r="F234" s="2">
        <v>61.99868272492224</v>
      </c>
      <c r="G234" s="2">
        <v>45.028838226912242</v>
      </c>
      <c r="H234">
        <v>1.07</v>
      </c>
      <c r="I234">
        <v>0</v>
      </c>
      <c r="J234" s="2">
        <v>4.7778204845551873</v>
      </c>
    </row>
    <row r="235" spans="1:10" x14ac:dyDescent="0.25">
      <c r="A235" s="1">
        <v>45819</v>
      </c>
      <c r="B235">
        <f t="shared" si="10"/>
        <v>162</v>
      </c>
      <c r="C235">
        <v>19.690000000000001</v>
      </c>
      <c r="D235">
        <v>27.86</v>
      </c>
      <c r="E235">
        <v>13.11</v>
      </c>
      <c r="F235" s="2">
        <v>59.045364613805731</v>
      </c>
      <c r="G235" s="2">
        <v>45.076920540238405</v>
      </c>
      <c r="H235">
        <v>1.61</v>
      </c>
      <c r="I235">
        <v>0</v>
      </c>
      <c r="J235" s="2">
        <v>4.3131652018536863</v>
      </c>
    </row>
    <row r="236" spans="1:10" x14ac:dyDescent="0.25">
      <c r="A236" s="1">
        <v>45820</v>
      </c>
      <c r="B236">
        <f t="shared" si="10"/>
        <v>163</v>
      </c>
      <c r="C236">
        <v>18.75</v>
      </c>
      <c r="D236">
        <v>22.98</v>
      </c>
      <c r="E236">
        <v>12.97</v>
      </c>
      <c r="F236" s="2">
        <v>62.512766401821139</v>
      </c>
      <c r="G236" s="2">
        <v>54.14967309633554</v>
      </c>
      <c r="H236">
        <v>1.53</v>
      </c>
      <c r="I236">
        <v>0</v>
      </c>
      <c r="J236" s="2">
        <v>3.6949235028494885</v>
      </c>
    </row>
    <row r="237" spans="1:10" x14ac:dyDescent="0.25">
      <c r="A237" s="1">
        <v>45821</v>
      </c>
      <c r="B237">
        <f t="shared" si="10"/>
        <v>164</v>
      </c>
      <c r="C237">
        <v>29.33</v>
      </c>
      <c r="D237">
        <v>29.16</v>
      </c>
      <c r="E237">
        <v>9.1</v>
      </c>
      <c r="F237" s="2">
        <v>88.056483692324178</v>
      </c>
      <c r="G237" s="2">
        <v>47.38560548427462</v>
      </c>
      <c r="H237">
        <v>1.75</v>
      </c>
      <c r="I237">
        <v>0</v>
      </c>
      <c r="J237" s="2">
        <v>5.3698340056217724</v>
      </c>
    </row>
    <row r="238" spans="1:10" x14ac:dyDescent="0.25">
      <c r="A238" s="1">
        <v>45822</v>
      </c>
      <c r="B238">
        <f t="shared" si="10"/>
        <v>165</v>
      </c>
      <c r="C238">
        <v>30.49</v>
      </c>
      <c r="D238">
        <v>30.72</v>
      </c>
      <c r="E238">
        <v>10.89</v>
      </c>
      <c r="F238" s="2">
        <v>78.156159921771362</v>
      </c>
      <c r="G238" s="2">
        <v>43.964499087768559</v>
      </c>
      <c r="H238">
        <v>1.4</v>
      </c>
      <c r="I238">
        <v>0</v>
      </c>
      <c r="J238" s="2">
        <v>5.6769949303611646</v>
      </c>
    </row>
    <row r="239" spans="1:10" x14ac:dyDescent="0.25">
      <c r="A239" s="1">
        <v>45823</v>
      </c>
      <c r="B239">
        <f t="shared" si="10"/>
        <v>166</v>
      </c>
      <c r="C239">
        <v>29.68</v>
      </c>
      <c r="D239">
        <v>33.51</v>
      </c>
      <c r="E239">
        <v>12.95</v>
      </c>
      <c r="F239" s="2">
        <v>61.136299235040568</v>
      </c>
      <c r="G239" s="2">
        <v>40.204477474984543</v>
      </c>
      <c r="H239">
        <v>1.59</v>
      </c>
      <c r="I239">
        <v>0</v>
      </c>
      <c r="J239" s="2">
        <v>6.1321783957625922</v>
      </c>
    </row>
    <row r="240" spans="1:10" x14ac:dyDescent="0.25">
      <c r="A240" s="1">
        <v>45824</v>
      </c>
      <c r="B240">
        <f t="shared" si="10"/>
        <v>167</v>
      </c>
      <c r="C240">
        <v>22.54</v>
      </c>
      <c r="D240">
        <v>28.63</v>
      </c>
      <c r="E240">
        <v>16.78</v>
      </c>
      <c r="F240" s="2">
        <v>47.103707572831993</v>
      </c>
      <c r="G240" s="2">
        <v>45.962079434704584</v>
      </c>
      <c r="H240">
        <v>1.34</v>
      </c>
      <c r="I240">
        <v>0</v>
      </c>
      <c r="J240" s="2">
        <v>4.7559568347432535</v>
      </c>
    </row>
    <row r="241" spans="1:10" x14ac:dyDescent="0.25">
      <c r="A241" s="1">
        <v>45825</v>
      </c>
      <c r="B241">
        <f t="shared" si="10"/>
        <v>168</v>
      </c>
      <c r="C241">
        <v>15.69</v>
      </c>
      <c r="D241">
        <v>27.21</v>
      </c>
      <c r="E241">
        <v>14.9</v>
      </c>
      <c r="F241" s="2">
        <v>52.570166442997859</v>
      </c>
      <c r="G241" s="2">
        <v>59.785281764918309</v>
      </c>
      <c r="H241">
        <v>2.77</v>
      </c>
      <c r="I241">
        <v>0</v>
      </c>
      <c r="J241" s="2">
        <v>4.1413219714099627</v>
      </c>
    </row>
    <row r="242" spans="1:10" x14ac:dyDescent="0.25">
      <c r="A242" s="1">
        <v>45826</v>
      </c>
      <c r="B242">
        <f t="shared" si="10"/>
        <v>169</v>
      </c>
      <c r="C242">
        <v>27.45</v>
      </c>
      <c r="D242">
        <v>24.53</v>
      </c>
      <c r="E242">
        <v>10.28</v>
      </c>
      <c r="F242" s="2">
        <v>59.66674958720224</v>
      </c>
      <c r="G242" s="2">
        <v>41.803637765548189</v>
      </c>
      <c r="H242">
        <v>2.21</v>
      </c>
      <c r="I242">
        <v>0.25</v>
      </c>
      <c r="J242" s="2">
        <v>5.1184025260605539</v>
      </c>
    </row>
    <row r="243" spans="1:10" x14ac:dyDescent="0.25">
      <c r="A243" s="1">
        <v>45827</v>
      </c>
      <c r="B243">
        <f t="shared" si="10"/>
        <v>170</v>
      </c>
      <c r="C243">
        <v>30.22</v>
      </c>
      <c r="D243">
        <v>23.81</v>
      </c>
      <c r="E243">
        <v>6.23</v>
      </c>
      <c r="F243" s="2">
        <v>57.726641414795822</v>
      </c>
      <c r="G243" s="2">
        <v>35.871963736821286</v>
      </c>
      <c r="H243">
        <v>2.27</v>
      </c>
      <c r="I243">
        <v>0</v>
      </c>
      <c r="J243" s="2">
        <v>5.2763534355503428</v>
      </c>
    </row>
    <row r="244" spans="1:10" x14ac:dyDescent="0.25">
      <c r="A244" s="1">
        <v>45828</v>
      </c>
      <c r="B244">
        <f t="shared" si="10"/>
        <v>171</v>
      </c>
      <c r="C244">
        <v>31.25</v>
      </c>
      <c r="D244">
        <v>24.6</v>
      </c>
      <c r="E244">
        <v>6.18</v>
      </c>
      <c r="F244" s="2">
        <v>75.115728200314919</v>
      </c>
      <c r="G244" s="2">
        <v>37.016868469148235</v>
      </c>
      <c r="H244">
        <v>1.32</v>
      </c>
      <c r="I244">
        <v>0</v>
      </c>
      <c r="J244" s="2">
        <v>4.9892935185276492</v>
      </c>
    </row>
    <row r="245" spans="1:10" x14ac:dyDescent="0.25">
      <c r="A245" s="1">
        <v>45829</v>
      </c>
      <c r="B245">
        <f t="shared" si="10"/>
        <v>172</v>
      </c>
      <c r="C245">
        <v>19.739999999999998</v>
      </c>
      <c r="D245">
        <v>23.3</v>
      </c>
      <c r="E245">
        <v>8.56</v>
      </c>
      <c r="F245" s="2">
        <v>56.550027787886506</v>
      </c>
      <c r="G245" s="2">
        <v>41.590137129838062</v>
      </c>
      <c r="H245">
        <v>3</v>
      </c>
      <c r="I245">
        <v>0</v>
      </c>
      <c r="J245" s="2">
        <v>4.4957029945238345</v>
      </c>
    </row>
    <row r="246" spans="1:10" x14ac:dyDescent="0.25">
      <c r="A246" s="1">
        <v>45830</v>
      </c>
      <c r="B246">
        <f t="shared" si="10"/>
        <v>173</v>
      </c>
      <c r="C246">
        <v>23.61</v>
      </c>
      <c r="D246">
        <v>21.73</v>
      </c>
      <c r="E246">
        <v>5.21</v>
      </c>
      <c r="F246" s="2">
        <v>90.143707829386287</v>
      </c>
      <c r="G246" s="2">
        <v>44.412862841521211</v>
      </c>
      <c r="H246">
        <v>1.93</v>
      </c>
      <c r="I246">
        <v>0</v>
      </c>
      <c r="J246" s="2">
        <v>3.9601795227545304</v>
      </c>
    </row>
    <row r="247" spans="1:10" x14ac:dyDescent="0.25">
      <c r="A247" s="1">
        <v>45831</v>
      </c>
      <c r="B247">
        <f t="shared" si="10"/>
        <v>174</v>
      </c>
      <c r="C247">
        <v>29.21</v>
      </c>
      <c r="D247">
        <v>23.31</v>
      </c>
      <c r="E247">
        <v>6.6</v>
      </c>
      <c r="F247" s="2">
        <v>82.73739174957953</v>
      </c>
      <c r="G247" s="2">
        <v>38.509297747801917</v>
      </c>
      <c r="H247">
        <v>2.35</v>
      </c>
      <c r="I247">
        <v>0</v>
      </c>
      <c r="J247" s="2">
        <v>4.9779159946466809</v>
      </c>
    </row>
    <row r="248" spans="1:10" x14ac:dyDescent="0.25">
      <c r="A248" s="1">
        <v>45832</v>
      </c>
      <c r="B248">
        <f t="shared" si="10"/>
        <v>175</v>
      </c>
      <c r="C248">
        <v>31.91</v>
      </c>
      <c r="D248">
        <v>26.17</v>
      </c>
      <c r="E248">
        <v>6.52</v>
      </c>
      <c r="F248" s="2">
        <v>66.297127419087843</v>
      </c>
      <c r="G248" s="2">
        <v>35.588274558853414</v>
      </c>
      <c r="H248">
        <v>1.26</v>
      </c>
      <c r="I248">
        <v>0</v>
      </c>
      <c r="J248" s="2">
        <v>5.2222046653266627</v>
      </c>
    </row>
    <row r="249" spans="1:10" x14ac:dyDescent="0.25">
      <c r="A249" s="1">
        <v>45833</v>
      </c>
      <c r="B249">
        <f t="shared" si="10"/>
        <v>176</v>
      </c>
      <c r="C249">
        <v>26.84</v>
      </c>
      <c r="D249">
        <v>29.74</v>
      </c>
      <c r="E249">
        <v>8.89</v>
      </c>
      <c r="F249" s="2">
        <v>77.894430982346847</v>
      </c>
      <c r="G249" s="2">
        <v>35.994546343855788</v>
      </c>
      <c r="H249">
        <v>1.93</v>
      </c>
      <c r="I249">
        <v>0</v>
      </c>
      <c r="J249" s="2">
        <v>5.4331510388129685</v>
      </c>
    </row>
    <row r="250" spans="1:10" x14ac:dyDescent="0.25">
      <c r="A250" s="1">
        <v>45834</v>
      </c>
      <c r="B250">
        <f t="shared" si="10"/>
        <v>177</v>
      </c>
      <c r="C250">
        <v>32.049999999999997</v>
      </c>
      <c r="D250">
        <v>24.5</v>
      </c>
      <c r="E250">
        <v>9.59</v>
      </c>
      <c r="F250" s="2">
        <v>56.011820353231897</v>
      </c>
      <c r="G250" s="2">
        <v>34.772134920922994</v>
      </c>
      <c r="H250">
        <v>1.87</v>
      </c>
      <c r="I250">
        <v>0</v>
      </c>
      <c r="J250" s="2">
        <v>5.5273072038695652</v>
      </c>
    </row>
    <row r="251" spans="1:10" x14ac:dyDescent="0.25">
      <c r="A251" s="1">
        <v>45835</v>
      </c>
      <c r="B251">
        <f t="shared" si="10"/>
        <v>178</v>
      </c>
      <c r="C251">
        <v>28.58</v>
      </c>
      <c r="D251">
        <v>24.99</v>
      </c>
      <c r="E251">
        <v>6.59</v>
      </c>
      <c r="F251" s="2">
        <v>68.059110421403375</v>
      </c>
      <c r="G251" s="2">
        <v>44.477919359373466</v>
      </c>
      <c r="H251">
        <v>1.1000000000000001</v>
      </c>
      <c r="I251">
        <v>0</v>
      </c>
      <c r="J251" s="2">
        <v>4.6197103543687179</v>
      </c>
    </row>
    <row r="252" spans="1:10" x14ac:dyDescent="0.25">
      <c r="A252" s="1">
        <v>45836</v>
      </c>
      <c r="B252">
        <f t="shared" si="10"/>
        <v>179</v>
      </c>
      <c r="C252">
        <v>25.23</v>
      </c>
      <c r="D252">
        <v>26.42</v>
      </c>
      <c r="E252">
        <v>10.49</v>
      </c>
      <c r="F252" s="2">
        <v>63.554021610999911</v>
      </c>
      <c r="G252" s="2">
        <v>44.733470157522021</v>
      </c>
      <c r="H252">
        <v>2.0099999999999998</v>
      </c>
      <c r="I252">
        <v>3.3</v>
      </c>
      <c r="J252" s="2">
        <v>4.9171656765287697</v>
      </c>
    </row>
    <row r="253" spans="1:10" x14ac:dyDescent="0.25">
      <c r="A253" s="1">
        <v>45837</v>
      </c>
      <c r="B253">
        <f t="shared" si="10"/>
        <v>180</v>
      </c>
      <c r="C253">
        <v>27.23</v>
      </c>
      <c r="D253">
        <v>24.62</v>
      </c>
      <c r="E253">
        <v>8.6</v>
      </c>
      <c r="F253" s="2">
        <v>74.593855121939086</v>
      </c>
      <c r="G253" s="2">
        <v>51.89013533272945</v>
      </c>
      <c r="H253">
        <v>1.5</v>
      </c>
      <c r="I253">
        <v>0</v>
      </c>
      <c r="J253" s="2">
        <v>4.5758183277990723</v>
      </c>
    </row>
    <row r="254" spans="1:10" x14ac:dyDescent="0.25">
      <c r="A254" s="1">
        <v>45838</v>
      </c>
      <c r="B254">
        <f t="shared" si="10"/>
        <v>181</v>
      </c>
      <c r="C254">
        <v>23.46</v>
      </c>
      <c r="D254">
        <v>25.51</v>
      </c>
      <c r="E254">
        <v>11.42</v>
      </c>
      <c r="F254" s="2">
        <v>69.468918750434696</v>
      </c>
      <c r="G254" s="2">
        <v>45.600063461178443</v>
      </c>
      <c r="H254">
        <v>1.73</v>
      </c>
      <c r="I254">
        <v>0</v>
      </c>
      <c r="J254" s="2">
        <v>4.5043121325927906</v>
      </c>
    </row>
    <row r="255" spans="1:10" x14ac:dyDescent="0.25">
      <c r="A255" s="1">
        <v>45839</v>
      </c>
      <c r="B255">
        <f t="shared" si="10"/>
        <v>182</v>
      </c>
      <c r="C255">
        <v>27.71</v>
      </c>
      <c r="D255">
        <v>24.86</v>
      </c>
      <c r="E255">
        <v>10.53</v>
      </c>
      <c r="F255" s="2">
        <v>67.329353176524776</v>
      </c>
      <c r="G255" s="2">
        <v>47.273657784619445</v>
      </c>
      <c r="H255">
        <v>1.61</v>
      </c>
      <c r="I255">
        <v>0</v>
      </c>
      <c r="J255" s="2">
        <v>4.8410141531214084</v>
      </c>
    </row>
    <row r="256" spans="1:10" x14ac:dyDescent="0.25">
      <c r="A256" s="1">
        <v>45840</v>
      </c>
      <c r="B256">
        <f t="shared" si="10"/>
        <v>183</v>
      </c>
      <c r="C256">
        <v>31.36</v>
      </c>
      <c r="D256">
        <v>26.54</v>
      </c>
      <c r="E256">
        <v>7.7</v>
      </c>
      <c r="F256" s="2">
        <v>78.803829937201968</v>
      </c>
      <c r="G256" s="2">
        <v>41.27760852167787</v>
      </c>
      <c r="H256">
        <v>1.3</v>
      </c>
      <c r="I256">
        <v>0</v>
      </c>
      <c r="J256" s="2">
        <v>5.1895887372308449</v>
      </c>
    </row>
    <row r="257" spans="1:10" x14ac:dyDescent="0.25">
      <c r="A257" s="1">
        <v>45841</v>
      </c>
      <c r="B257">
        <f t="shared" si="10"/>
        <v>184</v>
      </c>
      <c r="C257">
        <v>30.95</v>
      </c>
      <c r="D257">
        <v>28.63</v>
      </c>
      <c r="E257">
        <v>10.63</v>
      </c>
      <c r="F257" s="2">
        <v>68.01301181755413</v>
      </c>
      <c r="G257" s="2">
        <v>41.304399457275068</v>
      </c>
      <c r="H257">
        <v>1.1499999999999999</v>
      </c>
      <c r="I257">
        <v>0</v>
      </c>
      <c r="J257" s="2">
        <v>5.4128063574090994</v>
      </c>
    </row>
    <row r="258" spans="1:10" x14ac:dyDescent="0.25">
      <c r="A258" s="1">
        <v>45842</v>
      </c>
      <c r="B258">
        <f t="shared" si="10"/>
        <v>185</v>
      </c>
      <c r="C258">
        <v>31.06</v>
      </c>
      <c r="D258">
        <v>32.76</v>
      </c>
      <c r="E258">
        <v>10.85</v>
      </c>
      <c r="F258" s="2">
        <v>68.249990289803748</v>
      </c>
      <c r="G258" s="2">
        <v>42.619837988425829</v>
      </c>
      <c r="H258">
        <v>1.25</v>
      </c>
      <c r="I258">
        <v>0</v>
      </c>
      <c r="J258" s="2">
        <v>5.8865877895767511</v>
      </c>
    </row>
    <row r="259" spans="1:10" x14ac:dyDescent="0.25">
      <c r="A259" s="1">
        <v>45843</v>
      </c>
      <c r="B259">
        <f t="shared" si="10"/>
        <v>186</v>
      </c>
      <c r="C259">
        <v>25.4</v>
      </c>
      <c r="D259">
        <v>34.380000000000003</v>
      </c>
      <c r="E259">
        <v>16.260000000000002</v>
      </c>
      <c r="F259" s="2">
        <v>37.117228703269383</v>
      </c>
      <c r="G259" s="2">
        <v>42.906699827795443</v>
      </c>
      <c r="H259">
        <v>2</v>
      </c>
      <c r="I259">
        <v>0</v>
      </c>
      <c r="J259" s="2">
        <v>6.1037170935440788</v>
      </c>
    </row>
    <row r="260" spans="1:10" x14ac:dyDescent="0.25">
      <c r="A260" s="1">
        <v>45844</v>
      </c>
      <c r="B260">
        <f t="shared" si="10"/>
        <v>187</v>
      </c>
      <c r="C260">
        <v>30.88</v>
      </c>
      <c r="D260">
        <v>28.98</v>
      </c>
      <c r="E260">
        <v>13.08</v>
      </c>
      <c r="F260" s="2">
        <v>70.094337423513437</v>
      </c>
      <c r="G260" s="2">
        <v>40.950626516358405</v>
      </c>
      <c r="H260">
        <v>1.8</v>
      </c>
      <c r="I260">
        <v>0</v>
      </c>
      <c r="J260" s="2">
        <v>5.8438326195544414</v>
      </c>
    </row>
    <row r="261" spans="1:10" x14ac:dyDescent="0.25">
      <c r="A261" s="1">
        <v>45845</v>
      </c>
      <c r="B261">
        <f t="shared" si="10"/>
        <v>188</v>
      </c>
      <c r="C261">
        <v>30.28</v>
      </c>
      <c r="D261">
        <v>29.37</v>
      </c>
      <c r="E261">
        <v>9.76</v>
      </c>
      <c r="F261" s="2">
        <v>80.605599952031355</v>
      </c>
      <c r="G261" s="2">
        <v>40.822982509940871</v>
      </c>
      <c r="H261">
        <v>1.28</v>
      </c>
      <c r="I261">
        <v>0</v>
      </c>
      <c r="J261" s="2">
        <v>5.3954084311450377</v>
      </c>
    </row>
    <row r="262" spans="1:10" x14ac:dyDescent="0.25">
      <c r="A262" s="1">
        <v>45846</v>
      </c>
      <c r="B262">
        <f t="shared" si="10"/>
        <v>189</v>
      </c>
      <c r="C262">
        <v>12.84</v>
      </c>
      <c r="D262">
        <v>26.27</v>
      </c>
      <c r="E262">
        <v>14.23</v>
      </c>
      <c r="F262" s="2">
        <v>86.039952182568797</v>
      </c>
      <c r="G262" s="2">
        <v>62.552411159126684</v>
      </c>
      <c r="H262">
        <v>1.25</v>
      </c>
      <c r="I262">
        <v>6.6</v>
      </c>
      <c r="J262" s="2">
        <v>2.8290155930554208</v>
      </c>
    </row>
    <row r="263" spans="1:10" x14ac:dyDescent="0.25">
      <c r="A263" s="1">
        <v>45847</v>
      </c>
      <c r="B263">
        <f t="shared" si="10"/>
        <v>190</v>
      </c>
      <c r="C263">
        <v>23.68</v>
      </c>
      <c r="D263">
        <v>26.55</v>
      </c>
      <c r="E263">
        <v>9.9700000000000006</v>
      </c>
      <c r="F263" s="2">
        <v>62.983747907230139</v>
      </c>
      <c r="G263" s="2">
        <v>58.587536341352731</v>
      </c>
      <c r="H263">
        <v>2.95</v>
      </c>
      <c r="I263">
        <v>0.51</v>
      </c>
      <c r="J263" s="2">
        <v>4.7406358567587716</v>
      </c>
    </row>
    <row r="264" spans="1:10" x14ac:dyDescent="0.25">
      <c r="A264" s="1">
        <v>45848</v>
      </c>
      <c r="B264">
        <f t="shared" si="10"/>
        <v>191</v>
      </c>
      <c r="C264">
        <v>24.89</v>
      </c>
      <c r="D264">
        <v>22.03</v>
      </c>
      <c r="E264">
        <v>6.63</v>
      </c>
      <c r="F264" s="2">
        <v>94.818898273700711</v>
      </c>
      <c r="G264" s="2">
        <v>51.810248719943338</v>
      </c>
      <c r="H264">
        <v>1.71</v>
      </c>
      <c r="I264">
        <v>0</v>
      </c>
      <c r="J264" s="2">
        <v>3.9511572951147165</v>
      </c>
    </row>
    <row r="265" spans="1:10" x14ac:dyDescent="0.25">
      <c r="A265" s="1">
        <v>45849</v>
      </c>
      <c r="B265">
        <f t="shared" si="10"/>
        <v>192</v>
      </c>
      <c r="C265">
        <v>29.23</v>
      </c>
      <c r="D265">
        <v>25.09</v>
      </c>
      <c r="E265">
        <v>8.77</v>
      </c>
      <c r="F265" s="2">
        <v>70.492720939712001</v>
      </c>
      <c r="G265" s="2">
        <v>54.170108848801249</v>
      </c>
      <c r="H265">
        <v>1.46</v>
      </c>
      <c r="I265">
        <v>0.25</v>
      </c>
      <c r="J265" s="2">
        <v>4.7922368648285776</v>
      </c>
    </row>
    <row r="266" spans="1:10" x14ac:dyDescent="0.25">
      <c r="A266" s="1">
        <v>45850</v>
      </c>
      <c r="B266">
        <f t="shared" si="10"/>
        <v>193</v>
      </c>
      <c r="C266">
        <v>30.69</v>
      </c>
      <c r="D266">
        <v>28.09</v>
      </c>
      <c r="E266">
        <v>9.35</v>
      </c>
      <c r="F266" s="2">
        <v>77.266918730105104</v>
      </c>
      <c r="G266" s="2">
        <v>54.148064385754203</v>
      </c>
      <c r="H266">
        <v>1.3</v>
      </c>
      <c r="I266">
        <v>0</v>
      </c>
      <c r="J266" s="2">
        <v>5.202619128179756</v>
      </c>
    </row>
    <row r="267" spans="1:10" x14ac:dyDescent="0.25">
      <c r="A267" s="1">
        <v>45851</v>
      </c>
      <c r="B267">
        <f t="shared" ref="B267:B330" si="11">A267-DATE(YEAR(A267),1,1)+1</f>
        <v>194</v>
      </c>
      <c r="C267">
        <v>29.13</v>
      </c>
      <c r="D267">
        <v>29.97</v>
      </c>
      <c r="E267">
        <v>11.89</v>
      </c>
      <c r="F267" s="2">
        <v>71.115132352040689</v>
      </c>
      <c r="G267" s="2">
        <v>54.828446105964879</v>
      </c>
      <c r="H267">
        <v>0.88</v>
      </c>
      <c r="I267">
        <v>0</v>
      </c>
      <c r="J267" s="2">
        <v>5.1461135214720111</v>
      </c>
    </row>
    <row r="268" spans="1:10" x14ac:dyDescent="0.25">
      <c r="A268" s="1">
        <v>45852</v>
      </c>
      <c r="B268">
        <f t="shared" si="11"/>
        <v>195</v>
      </c>
      <c r="C268">
        <v>20.309999999999999</v>
      </c>
      <c r="D268">
        <v>30.54</v>
      </c>
      <c r="E268">
        <v>13.91</v>
      </c>
      <c r="F268" s="2">
        <v>61.285157391297275</v>
      </c>
      <c r="G268" s="2">
        <v>55.209263815651155</v>
      </c>
      <c r="H268">
        <v>1.04</v>
      </c>
      <c r="I268">
        <v>0</v>
      </c>
      <c r="J268" s="2">
        <v>4.1476106215320518</v>
      </c>
    </row>
    <row r="269" spans="1:10" x14ac:dyDescent="0.25">
      <c r="A269" s="1">
        <v>45853</v>
      </c>
      <c r="B269">
        <f t="shared" si="11"/>
        <v>196</v>
      </c>
      <c r="C269">
        <v>29.96</v>
      </c>
      <c r="D269">
        <v>31.93</v>
      </c>
      <c r="E269">
        <v>13</v>
      </c>
      <c r="F269" s="2">
        <v>78.060663382863993</v>
      </c>
      <c r="G269" s="2">
        <v>46.513578053390283</v>
      </c>
      <c r="H269">
        <v>1.47</v>
      </c>
      <c r="I269">
        <v>0</v>
      </c>
      <c r="J269" s="2">
        <v>5.7552787569498518</v>
      </c>
    </row>
    <row r="270" spans="1:10" x14ac:dyDescent="0.25">
      <c r="A270" s="1">
        <v>45854</v>
      </c>
      <c r="B270">
        <f t="shared" si="11"/>
        <v>197</v>
      </c>
      <c r="C270">
        <v>29.67</v>
      </c>
      <c r="D270">
        <v>28.61</v>
      </c>
      <c r="E270">
        <v>10.16</v>
      </c>
      <c r="F270" s="2">
        <v>88.572802402869371</v>
      </c>
      <c r="G270" s="2">
        <v>51.880054500338204</v>
      </c>
      <c r="H270">
        <v>1.2</v>
      </c>
      <c r="I270">
        <v>0</v>
      </c>
      <c r="J270" s="2">
        <v>5.0980172317143717</v>
      </c>
    </row>
    <row r="271" spans="1:10" x14ac:dyDescent="0.25">
      <c r="A271" s="1">
        <v>45855</v>
      </c>
      <c r="B271">
        <f t="shared" si="11"/>
        <v>198</v>
      </c>
      <c r="C271">
        <v>28.01</v>
      </c>
      <c r="D271">
        <v>31.13</v>
      </c>
      <c r="E271">
        <v>15.91</v>
      </c>
      <c r="F271" s="2">
        <v>58.615595602033267</v>
      </c>
      <c r="G271" s="2">
        <v>41.82013473836215</v>
      </c>
      <c r="H271">
        <v>1.91</v>
      </c>
      <c r="I271">
        <v>0</v>
      </c>
      <c r="J271" s="2">
        <v>5.868999968537727</v>
      </c>
    </row>
    <row r="272" spans="1:10" x14ac:dyDescent="0.25">
      <c r="A272" s="1">
        <v>45856</v>
      </c>
      <c r="B272">
        <f t="shared" si="11"/>
        <v>199</v>
      </c>
      <c r="C272">
        <v>29.77</v>
      </c>
      <c r="D272">
        <v>30</v>
      </c>
      <c r="E272">
        <v>12.38</v>
      </c>
      <c r="F272" s="2">
        <v>61.552246573826544</v>
      </c>
      <c r="G272" s="2">
        <v>51.241169089350812</v>
      </c>
      <c r="H272">
        <v>1.31</v>
      </c>
      <c r="I272">
        <v>0</v>
      </c>
      <c r="J272" s="2">
        <v>5.4229398996192995</v>
      </c>
    </row>
    <row r="273" spans="1:10" x14ac:dyDescent="0.25">
      <c r="A273" s="1">
        <v>45857</v>
      </c>
      <c r="B273">
        <f t="shared" si="11"/>
        <v>200</v>
      </c>
      <c r="C273">
        <v>29.71</v>
      </c>
      <c r="D273">
        <v>33.130000000000003</v>
      </c>
      <c r="E273">
        <v>11.98</v>
      </c>
      <c r="F273" s="2">
        <v>61.369085447140733</v>
      </c>
      <c r="G273" s="2">
        <v>42.059114677578904</v>
      </c>
      <c r="H273">
        <v>1.28</v>
      </c>
      <c r="I273">
        <v>0</v>
      </c>
      <c r="J273" s="2">
        <v>5.7302870597040902</v>
      </c>
    </row>
    <row r="274" spans="1:10" x14ac:dyDescent="0.25">
      <c r="A274" s="1">
        <v>45858</v>
      </c>
      <c r="B274">
        <f t="shared" si="11"/>
        <v>201</v>
      </c>
      <c r="C274">
        <v>29.39</v>
      </c>
      <c r="D274">
        <v>34.01</v>
      </c>
      <c r="E274">
        <v>13.35</v>
      </c>
      <c r="F274" s="2">
        <v>75.988195448490089</v>
      </c>
      <c r="G274" s="2">
        <v>46.786135600857349</v>
      </c>
      <c r="H274">
        <v>0.77</v>
      </c>
      <c r="I274">
        <v>0</v>
      </c>
      <c r="J274" s="2">
        <v>5.4924421905977301</v>
      </c>
    </row>
    <row r="275" spans="1:10" x14ac:dyDescent="0.25">
      <c r="A275" s="1">
        <v>45859</v>
      </c>
      <c r="B275">
        <f t="shared" si="11"/>
        <v>202</v>
      </c>
      <c r="C275">
        <v>27.26</v>
      </c>
      <c r="D275">
        <v>35.409999999999997</v>
      </c>
      <c r="E275">
        <v>13.75</v>
      </c>
      <c r="F275" s="2">
        <v>61.755216897720487</v>
      </c>
      <c r="G275" s="2">
        <v>41.957566609154327</v>
      </c>
      <c r="H275">
        <v>1.74</v>
      </c>
      <c r="I275">
        <v>0</v>
      </c>
      <c r="J275" s="2">
        <v>6.0068680831097243</v>
      </c>
    </row>
    <row r="276" spans="1:10" x14ac:dyDescent="0.25">
      <c r="A276" s="1">
        <v>45860</v>
      </c>
      <c r="B276">
        <f t="shared" si="11"/>
        <v>203</v>
      </c>
      <c r="C276">
        <v>29.28</v>
      </c>
      <c r="D276">
        <v>28.4</v>
      </c>
      <c r="E276">
        <v>10.6</v>
      </c>
      <c r="F276" s="2">
        <v>79.844501856243184</v>
      </c>
      <c r="G276" s="2">
        <v>52.41669766136453</v>
      </c>
      <c r="H276">
        <v>1.21</v>
      </c>
      <c r="I276">
        <v>0</v>
      </c>
      <c r="J276" s="2">
        <v>5.020827879626375</v>
      </c>
    </row>
    <row r="277" spans="1:10" x14ac:dyDescent="0.25">
      <c r="A277" s="1">
        <v>45861</v>
      </c>
      <c r="B277">
        <f t="shared" si="11"/>
        <v>204</v>
      </c>
      <c r="C277">
        <v>29.69</v>
      </c>
      <c r="D277">
        <v>30.08</v>
      </c>
      <c r="E277">
        <v>9.85</v>
      </c>
      <c r="F277" s="2">
        <v>50.170644219624982</v>
      </c>
      <c r="G277" s="2">
        <v>48.299547919482997</v>
      </c>
      <c r="H277">
        <v>1.41</v>
      </c>
      <c r="I277">
        <v>0</v>
      </c>
      <c r="J277" s="2">
        <v>5.3615627607513794</v>
      </c>
    </row>
    <row r="278" spans="1:10" x14ac:dyDescent="0.25">
      <c r="A278" s="1">
        <v>45862</v>
      </c>
      <c r="B278">
        <f t="shared" si="11"/>
        <v>205</v>
      </c>
      <c r="C278">
        <v>29.31</v>
      </c>
      <c r="D278">
        <v>30.12</v>
      </c>
      <c r="E278">
        <v>10.65</v>
      </c>
      <c r="F278" s="2">
        <v>50.035490115078993</v>
      </c>
      <c r="G278" s="2">
        <v>46.517578890882284</v>
      </c>
      <c r="H278">
        <v>1.28</v>
      </c>
      <c r="I278">
        <v>0</v>
      </c>
      <c r="J278" s="2">
        <v>5.2835474519414847</v>
      </c>
    </row>
    <row r="279" spans="1:10" x14ac:dyDescent="0.25">
      <c r="A279" s="1">
        <v>45863</v>
      </c>
      <c r="B279">
        <f t="shared" si="11"/>
        <v>206</v>
      </c>
      <c r="C279">
        <v>29.27</v>
      </c>
      <c r="D279">
        <v>28.97</v>
      </c>
      <c r="E279">
        <v>10.69</v>
      </c>
      <c r="F279" s="2">
        <v>43.603983880132965</v>
      </c>
      <c r="G279" s="2">
        <v>36.034759133466586</v>
      </c>
      <c r="H279">
        <v>1.48</v>
      </c>
      <c r="I279">
        <v>0</v>
      </c>
      <c r="J279" s="2">
        <v>5.3582815063047837</v>
      </c>
    </row>
    <row r="280" spans="1:10" x14ac:dyDescent="0.25">
      <c r="A280" s="1">
        <v>45864</v>
      </c>
      <c r="B280">
        <f t="shared" si="11"/>
        <v>207</v>
      </c>
      <c r="C280">
        <v>28.81</v>
      </c>
      <c r="D280">
        <v>29.01</v>
      </c>
      <c r="E280">
        <v>10.74</v>
      </c>
      <c r="F280" s="2">
        <v>76.961047881260811</v>
      </c>
      <c r="G280" s="2">
        <v>38.134166732949112</v>
      </c>
      <c r="H280">
        <v>1.28</v>
      </c>
      <c r="I280">
        <v>0</v>
      </c>
      <c r="J280" s="2">
        <v>5.1039065773590435</v>
      </c>
    </row>
    <row r="281" spans="1:10" x14ac:dyDescent="0.25">
      <c r="A281" s="1">
        <v>45865</v>
      </c>
      <c r="B281">
        <f t="shared" si="11"/>
        <v>208</v>
      </c>
      <c r="C281">
        <v>28.81</v>
      </c>
      <c r="D281">
        <v>32.130000000000003</v>
      </c>
      <c r="E281">
        <v>12.45</v>
      </c>
      <c r="F281" s="2">
        <v>62.823853866895362</v>
      </c>
      <c r="G281" s="2">
        <v>38.942330081531104</v>
      </c>
      <c r="H281">
        <v>1.24</v>
      </c>
      <c r="I281">
        <v>0</v>
      </c>
      <c r="J281" s="2">
        <v>5.4418176095730804</v>
      </c>
    </row>
    <row r="282" spans="1:10" x14ac:dyDescent="0.25">
      <c r="A282" s="1">
        <v>45866</v>
      </c>
      <c r="B282">
        <f t="shared" si="11"/>
        <v>209</v>
      </c>
      <c r="C282">
        <v>27.3</v>
      </c>
      <c r="D282">
        <v>35.270000000000003</v>
      </c>
      <c r="E282">
        <v>12.98</v>
      </c>
      <c r="F282" s="2">
        <v>77.219528499560113</v>
      </c>
      <c r="G282" s="2">
        <v>44.933583158353827</v>
      </c>
      <c r="H282">
        <v>1.05</v>
      </c>
      <c r="I282">
        <v>0</v>
      </c>
      <c r="J282" s="2">
        <v>5.3956691362982516</v>
      </c>
    </row>
    <row r="283" spans="1:10" x14ac:dyDescent="0.25">
      <c r="A283" s="1">
        <v>45867</v>
      </c>
      <c r="B283">
        <f t="shared" si="11"/>
        <v>210</v>
      </c>
      <c r="C283">
        <v>11.59</v>
      </c>
      <c r="D283">
        <v>27.68</v>
      </c>
      <c r="E283">
        <v>19.170000000000002</v>
      </c>
      <c r="F283" s="2">
        <v>68.062770880659869</v>
      </c>
      <c r="G283" s="2">
        <v>61.290842463811813</v>
      </c>
      <c r="H283">
        <v>1.1000000000000001</v>
      </c>
      <c r="I283">
        <v>2.0299999999999998</v>
      </c>
      <c r="J283" s="2">
        <v>2.8286758482522512</v>
      </c>
    </row>
    <row r="284" spans="1:10" x14ac:dyDescent="0.25">
      <c r="A284" s="1">
        <v>45868</v>
      </c>
      <c r="B284">
        <f t="shared" si="11"/>
        <v>211</v>
      </c>
      <c r="C284">
        <v>24.6</v>
      </c>
      <c r="D284">
        <v>30.89</v>
      </c>
      <c r="E284">
        <v>16.55</v>
      </c>
      <c r="F284" s="2">
        <v>54.047125566499851</v>
      </c>
      <c r="G284" s="2">
        <v>50.335210812180399</v>
      </c>
      <c r="H284">
        <v>1.29</v>
      </c>
      <c r="I284">
        <v>0.25</v>
      </c>
      <c r="J284" s="2">
        <v>4.9143733837183667</v>
      </c>
    </row>
    <row r="285" spans="1:10" x14ac:dyDescent="0.25">
      <c r="A285" s="1">
        <v>45869</v>
      </c>
      <c r="B285">
        <f t="shared" si="11"/>
        <v>212</v>
      </c>
      <c r="C285">
        <v>26.65</v>
      </c>
      <c r="D285">
        <v>31.47</v>
      </c>
      <c r="E285">
        <v>13.4</v>
      </c>
      <c r="F285" s="2">
        <v>67.252375104966859</v>
      </c>
      <c r="G285" s="2">
        <v>45.183143942310252</v>
      </c>
      <c r="H285">
        <v>1.1399999999999999</v>
      </c>
      <c r="I285">
        <v>0</v>
      </c>
      <c r="J285" s="2">
        <v>5.0108354542663003</v>
      </c>
    </row>
    <row r="286" spans="1:10" x14ac:dyDescent="0.25">
      <c r="A286" s="1">
        <v>45870</v>
      </c>
      <c r="B286">
        <f t="shared" si="11"/>
        <v>213</v>
      </c>
      <c r="C286">
        <v>26.95</v>
      </c>
      <c r="D286">
        <v>32.15</v>
      </c>
      <c r="E286">
        <v>13.36</v>
      </c>
      <c r="F286" s="2">
        <v>69.342741657542376</v>
      </c>
      <c r="G286" s="2">
        <v>51.261972417232336</v>
      </c>
      <c r="H286">
        <v>1.01</v>
      </c>
      <c r="I286">
        <v>0</v>
      </c>
      <c r="J286" s="2">
        <v>5.0054389497961012</v>
      </c>
    </row>
    <row r="287" spans="1:10" x14ac:dyDescent="0.25">
      <c r="A287" s="1">
        <v>45871</v>
      </c>
      <c r="B287">
        <f t="shared" si="11"/>
        <v>214</v>
      </c>
      <c r="C287">
        <v>27.38</v>
      </c>
      <c r="D287">
        <v>34.11</v>
      </c>
      <c r="E287">
        <v>14.73</v>
      </c>
      <c r="F287" s="2">
        <v>64.447723239479771</v>
      </c>
      <c r="G287" s="2">
        <v>39.84447293887424</v>
      </c>
      <c r="H287">
        <v>1.22</v>
      </c>
      <c r="I287">
        <v>0</v>
      </c>
      <c r="J287" s="2">
        <v>5.4385358446294294</v>
      </c>
    </row>
    <row r="288" spans="1:10" x14ac:dyDescent="0.25">
      <c r="A288" s="1">
        <v>45872</v>
      </c>
      <c r="B288">
        <f t="shared" si="11"/>
        <v>215</v>
      </c>
      <c r="C288">
        <v>27.64</v>
      </c>
      <c r="D288">
        <v>35.08</v>
      </c>
      <c r="E288">
        <v>13.9</v>
      </c>
      <c r="F288" s="2">
        <v>74.862999021789221</v>
      </c>
      <c r="G288" s="2">
        <v>41.351934280539396</v>
      </c>
      <c r="H288">
        <v>1.31</v>
      </c>
      <c r="I288">
        <v>0</v>
      </c>
      <c r="J288" s="2">
        <v>5.5729606023291867</v>
      </c>
    </row>
    <row r="289" spans="1:10" x14ac:dyDescent="0.25">
      <c r="A289" s="1">
        <v>45873</v>
      </c>
      <c r="B289">
        <f t="shared" si="11"/>
        <v>216</v>
      </c>
      <c r="C289">
        <v>27.4</v>
      </c>
      <c r="D289">
        <v>37.5</v>
      </c>
      <c r="E289">
        <v>15.57</v>
      </c>
      <c r="F289" s="2">
        <v>70.636608059481063</v>
      </c>
      <c r="G289" s="2">
        <v>49.071618208194849</v>
      </c>
      <c r="H289">
        <v>1.1299999999999999</v>
      </c>
      <c r="I289">
        <v>0</v>
      </c>
      <c r="J289" s="2">
        <v>5.6926645358547496</v>
      </c>
    </row>
    <row r="290" spans="1:10" x14ac:dyDescent="0.25">
      <c r="A290" s="1">
        <v>45874</v>
      </c>
      <c r="B290">
        <f t="shared" si="11"/>
        <v>217</v>
      </c>
      <c r="C290">
        <v>26.47</v>
      </c>
      <c r="D290">
        <v>35.75</v>
      </c>
      <c r="E290">
        <v>17.190000000000001</v>
      </c>
      <c r="F290" s="2">
        <v>71.563338783703259</v>
      </c>
      <c r="G290" s="2">
        <v>51.689290393116451</v>
      </c>
      <c r="H290">
        <v>1.01</v>
      </c>
      <c r="I290">
        <v>0</v>
      </c>
      <c r="J290" s="2">
        <v>5.3629139063188553</v>
      </c>
    </row>
    <row r="291" spans="1:10" x14ac:dyDescent="0.25">
      <c r="A291" s="1">
        <v>45875</v>
      </c>
      <c r="B291">
        <f t="shared" si="11"/>
        <v>218</v>
      </c>
      <c r="C291">
        <v>26.32</v>
      </c>
      <c r="D291">
        <v>37.31</v>
      </c>
      <c r="E291">
        <v>17.399999999999999</v>
      </c>
      <c r="F291" s="2">
        <v>78.833152238813398</v>
      </c>
      <c r="G291" s="2">
        <v>53.83754391134088</v>
      </c>
      <c r="H291">
        <v>0.98</v>
      </c>
      <c r="I291">
        <v>0</v>
      </c>
      <c r="J291" s="2">
        <v>5.4655741452396329</v>
      </c>
    </row>
    <row r="292" spans="1:10" x14ac:dyDescent="0.25">
      <c r="A292" s="1">
        <v>45876</v>
      </c>
      <c r="B292">
        <f t="shared" si="11"/>
        <v>219</v>
      </c>
      <c r="C292">
        <v>25.1</v>
      </c>
      <c r="D292">
        <v>32.81</v>
      </c>
      <c r="E292">
        <v>16.75</v>
      </c>
      <c r="F292" s="2">
        <v>46.379242140002553</v>
      </c>
      <c r="G292" s="2">
        <v>39.034155906270989</v>
      </c>
      <c r="H292">
        <v>2.17</v>
      </c>
      <c r="I292">
        <v>0</v>
      </c>
      <c r="J292" s="2">
        <v>5.7729750071254582</v>
      </c>
    </row>
    <row r="293" spans="1:10" x14ac:dyDescent="0.25">
      <c r="A293" s="1">
        <v>45877</v>
      </c>
      <c r="B293">
        <f t="shared" si="11"/>
        <v>220</v>
      </c>
      <c r="C293">
        <v>25.56</v>
      </c>
      <c r="D293">
        <v>27.97</v>
      </c>
      <c r="E293">
        <v>13.1</v>
      </c>
      <c r="F293" s="2">
        <v>55.248842825707989</v>
      </c>
      <c r="G293" s="2">
        <v>49.369941095525114</v>
      </c>
      <c r="H293">
        <v>1.69</v>
      </c>
      <c r="I293">
        <v>0</v>
      </c>
      <c r="J293" s="2">
        <v>4.7545867290153261</v>
      </c>
    </row>
    <row r="294" spans="1:10" x14ac:dyDescent="0.25">
      <c r="A294" s="1">
        <v>45878</v>
      </c>
      <c r="B294">
        <f t="shared" si="11"/>
        <v>221</v>
      </c>
      <c r="C294">
        <v>26.61</v>
      </c>
      <c r="D294">
        <v>28.46</v>
      </c>
      <c r="E294">
        <v>15.7</v>
      </c>
      <c r="F294" s="2">
        <v>48.767216145685111</v>
      </c>
      <c r="G294" s="2">
        <v>43.279287614824391</v>
      </c>
      <c r="H294">
        <v>2.63</v>
      </c>
      <c r="I294">
        <v>0</v>
      </c>
      <c r="J294" s="2">
        <v>5.6016599602812871</v>
      </c>
    </row>
    <row r="295" spans="1:10" x14ac:dyDescent="0.25">
      <c r="A295" s="1">
        <v>45879</v>
      </c>
      <c r="B295">
        <f t="shared" si="11"/>
        <v>222</v>
      </c>
      <c r="C295">
        <v>27.24</v>
      </c>
      <c r="D295">
        <v>29.98</v>
      </c>
      <c r="E295">
        <v>11.21</v>
      </c>
      <c r="F295" s="2">
        <v>47.101291869117404</v>
      </c>
      <c r="G295" s="2">
        <v>40.942305317318585</v>
      </c>
      <c r="H295">
        <v>1.77</v>
      </c>
      <c r="I295">
        <v>0</v>
      </c>
      <c r="J295" s="2">
        <v>5.1866074950138712</v>
      </c>
    </row>
    <row r="296" spans="1:10" x14ac:dyDescent="0.25">
      <c r="A296" s="1">
        <v>45880</v>
      </c>
      <c r="B296">
        <f t="shared" si="11"/>
        <v>223</v>
      </c>
      <c r="C296">
        <v>26.51</v>
      </c>
      <c r="D296">
        <v>33.31</v>
      </c>
      <c r="E296">
        <v>11.09</v>
      </c>
      <c r="F296" s="2">
        <v>66.100859518800945</v>
      </c>
      <c r="G296" s="2">
        <v>48.20402253013463</v>
      </c>
      <c r="H296">
        <v>1.01</v>
      </c>
      <c r="I296">
        <v>0</v>
      </c>
      <c r="J296" s="2">
        <v>4.8452314763558322</v>
      </c>
    </row>
    <row r="297" spans="1:10" x14ac:dyDescent="0.25">
      <c r="A297" s="1">
        <v>45881</v>
      </c>
      <c r="B297">
        <f t="shared" si="11"/>
        <v>224</v>
      </c>
      <c r="C297">
        <v>25.27</v>
      </c>
      <c r="D297">
        <v>35.380000000000003</v>
      </c>
      <c r="E297">
        <v>12.13</v>
      </c>
      <c r="F297" s="2">
        <v>55.106172734980028</v>
      </c>
      <c r="G297" s="2">
        <v>43.366865743072417</v>
      </c>
      <c r="H297">
        <v>1.0900000000000001</v>
      </c>
      <c r="I297">
        <v>0</v>
      </c>
      <c r="J297" s="2">
        <v>4.9656019018159316</v>
      </c>
    </row>
    <row r="298" spans="1:10" x14ac:dyDescent="0.25">
      <c r="A298" s="1">
        <v>45882</v>
      </c>
      <c r="B298">
        <f t="shared" si="11"/>
        <v>225</v>
      </c>
      <c r="C298">
        <v>23.41</v>
      </c>
      <c r="D298">
        <v>34.520000000000003</v>
      </c>
      <c r="E298">
        <v>15.41</v>
      </c>
      <c r="F298" s="2">
        <v>55.437675479598255</v>
      </c>
      <c r="G298" s="2">
        <v>50.541110299656388</v>
      </c>
      <c r="H298">
        <v>1.35</v>
      </c>
      <c r="I298">
        <v>0</v>
      </c>
      <c r="J298" s="2">
        <v>4.8863257999054639</v>
      </c>
    </row>
    <row r="299" spans="1:10" x14ac:dyDescent="0.25">
      <c r="A299" s="1">
        <v>45883</v>
      </c>
      <c r="B299">
        <f t="shared" si="11"/>
        <v>226</v>
      </c>
      <c r="C299">
        <v>25.75</v>
      </c>
      <c r="D299">
        <v>37.380000000000003</v>
      </c>
      <c r="E299">
        <v>14.25</v>
      </c>
      <c r="F299" s="2">
        <v>75.985838367495944</v>
      </c>
      <c r="G299" s="2">
        <v>34.13203601577316</v>
      </c>
      <c r="H299">
        <v>1.7</v>
      </c>
      <c r="I299">
        <v>0</v>
      </c>
      <c r="J299" s="2">
        <v>5.7752577631819371</v>
      </c>
    </row>
    <row r="300" spans="1:10" x14ac:dyDescent="0.25">
      <c r="A300" s="1">
        <v>45884</v>
      </c>
      <c r="B300">
        <f t="shared" si="11"/>
        <v>227</v>
      </c>
      <c r="C300">
        <v>22.02</v>
      </c>
      <c r="D300">
        <v>31.03</v>
      </c>
      <c r="E300">
        <v>14.72</v>
      </c>
      <c r="F300" s="2">
        <v>62.327587264903073</v>
      </c>
      <c r="G300" s="2">
        <v>48.615193612549454</v>
      </c>
      <c r="H300">
        <v>1.61</v>
      </c>
      <c r="I300">
        <v>0</v>
      </c>
      <c r="J300" s="2">
        <v>4.5144003158299455</v>
      </c>
    </row>
    <row r="301" spans="1:10" x14ac:dyDescent="0.25">
      <c r="A301" s="1">
        <v>45885</v>
      </c>
      <c r="B301">
        <f t="shared" si="11"/>
        <v>228</v>
      </c>
      <c r="C301">
        <v>24.67</v>
      </c>
      <c r="D301">
        <v>28.97</v>
      </c>
      <c r="E301">
        <v>16.149999999999999</v>
      </c>
      <c r="F301" s="2">
        <v>59.560436301172601</v>
      </c>
      <c r="G301" s="2">
        <v>49.138259359816217</v>
      </c>
      <c r="H301">
        <v>1.41</v>
      </c>
      <c r="I301">
        <v>0</v>
      </c>
      <c r="J301" s="2">
        <v>4.5894397975023242</v>
      </c>
    </row>
    <row r="302" spans="1:10" x14ac:dyDescent="0.25">
      <c r="A302" s="1">
        <v>45886</v>
      </c>
      <c r="B302">
        <f t="shared" si="11"/>
        <v>229</v>
      </c>
      <c r="C302">
        <v>24.04</v>
      </c>
      <c r="D302">
        <v>31.22</v>
      </c>
      <c r="E302">
        <v>12.72</v>
      </c>
      <c r="F302" s="2">
        <v>77.648820288450167</v>
      </c>
      <c r="G302" s="2">
        <v>45.771620514269564</v>
      </c>
      <c r="H302">
        <v>1.06</v>
      </c>
      <c r="I302">
        <v>0</v>
      </c>
      <c r="J302" s="2">
        <v>4.3533254646216459</v>
      </c>
    </row>
    <row r="303" spans="1:10" x14ac:dyDescent="0.25">
      <c r="A303" s="1">
        <v>45887</v>
      </c>
      <c r="B303">
        <f t="shared" si="11"/>
        <v>230</v>
      </c>
      <c r="C303">
        <v>23.55</v>
      </c>
      <c r="D303">
        <v>31.87</v>
      </c>
      <c r="E303">
        <v>13.23</v>
      </c>
      <c r="F303" s="2">
        <v>74.796548278987444</v>
      </c>
      <c r="G303" s="2">
        <v>48.147070677990115</v>
      </c>
      <c r="H303">
        <v>1.07</v>
      </c>
      <c r="I303">
        <v>0</v>
      </c>
      <c r="J303" s="2">
        <v>4.3478696117676936</v>
      </c>
    </row>
    <row r="304" spans="1:10" x14ac:dyDescent="0.25">
      <c r="A304" s="1">
        <v>45888</v>
      </c>
      <c r="B304">
        <f t="shared" si="11"/>
        <v>231</v>
      </c>
      <c r="C304">
        <v>24.79</v>
      </c>
      <c r="D304">
        <v>30.81</v>
      </c>
      <c r="E304">
        <v>13.1</v>
      </c>
      <c r="F304" s="2">
        <v>26.486334737839528</v>
      </c>
      <c r="G304" s="2">
        <v>49.443799980672431</v>
      </c>
      <c r="H304">
        <v>0.93</v>
      </c>
      <c r="I304">
        <v>0</v>
      </c>
      <c r="J304" s="2">
        <v>4.3151546445978228</v>
      </c>
    </row>
    <row r="305" spans="1:10" x14ac:dyDescent="0.25">
      <c r="A305" s="1">
        <v>45889</v>
      </c>
      <c r="B305">
        <f t="shared" si="11"/>
        <v>232</v>
      </c>
      <c r="C305">
        <v>8.2200000000000006</v>
      </c>
      <c r="D305">
        <v>27.61</v>
      </c>
      <c r="E305">
        <v>14.13</v>
      </c>
      <c r="F305" s="2">
        <v>68.517213462192501</v>
      </c>
      <c r="G305" s="2">
        <v>61.963620488314618</v>
      </c>
      <c r="H305">
        <v>1.47</v>
      </c>
      <c r="I305">
        <v>0</v>
      </c>
      <c r="J305" s="2">
        <v>2.3412258886260804</v>
      </c>
    </row>
    <row r="306" spans="1:10" x14ac:dyDescent="0.25">
      <c r="A306" s="1">
        <v>45890</v>
      </c>
      <c r="B306">
        <f t="shared" si="11"/>
        <v>233</v>
      </c>
      <c r="C306">
        <v>24.1</v>
      </c>
      <c r="D306">
        <v>30.53</v>
      </c>
      <c r="E306">
        <v>12.34</v>
      </c>
      <c r="F306" s="2">
        <v>90.191890364931567</v>
      </c>
      <c r="G306" s="2">
        <v>53.263215710494073</v>
      </c>
      <c r="H306">
        <v>0.82</v>
      </c>
      <c r="I306">
        <v>0</v>
      </c>
      <c r="J306" s="2">
        <v>4.0921127158603827</v>
      </c>
    </row>
    <row r="307" spans="1:10" x14ac:dyDescent="0.25">
      <c r="A307" s="1">
        <v>45891</v>
      </c>
      <c r="B307">
        <f t="shared" si="11"/>
        <v>234</v>
      </c>
      <c r="C307">
        <v>23.89</v>
      </c>
      <c r="D307">
        <v>32.159999999999997</v>
      </c>
      <c r="E307">
        <v>12.34</v>
      </c>
      <c r="F307" s="2">
        <v>85.842632615031491</v>
      </c>
      <c r="G307" s="2">
        <v>58.803521524057025</v>
      </c>
      <c r="H307">
        <v>1.01</v>
      </c>
      <c r="I307">
        <v>0</v>
      </c>
      <c r="J307" s="2">
        <v>4.2464652093193438</v>
      </c>
    </row>
    <row r="308" spans="1:10" x14ac:dyDescent="0.25">
      <c r="A308" s="1">
        <v>45892</v>
      </c>
      <c r="B308">
        <f t="shared" si="11"/>
        <v>235</v>
      </c>
      <c r="C308">
        <v>23.08</v>
      </c>
      <c r="D308">
        <v>30.89</v>
      </c>
      <c r="E308">
        <v>14.53</v>
      </c>
      <c r="F308" s="2">
        <v>72.111185673665105</v>
      </c>
      <c r="G308" s="2">
        <v>42.882870559597492</v>
      </c>
      <c r="H308">
        <v>1.21</v>
      </c>
      <c r="I308">
        <v>0</v>
      </c>
      <c r="J308" s="2">
        <v>4.2740872371970031</v>
      </c>
    </row>
    <row r="309" spans="1:10" x14ac:dyDescent="0.25">
      <c r="A309" s="1">
        <v>45893</v>
      </c>
      <c r="B309">
        <f t="shared" si="11"/>
        <v>236</v>
      </c>
      <c r="C309">
        <v>19.829999999999998</v>
      </c>
      <c r="D309">
        <v>25.62</v>
      </c>
      <c r="E309">
        <v>14.5</v>
      </c>
      <c r="F309" s="2">
        <v>75.926052771514676</v>
      </c>
      <c r="G309" s="2">
        <v>59.219337514595161</v>
      </c>
      <c r="H309">
        <v>1.99</v>
      </c>
      <c r="I309">
        <v>2.54</v>
      </c>
      <c r="J309" s="2">
        <v>3.6566603815792544</v>
      </c>
    </row>
    <row r="310" spans="1:10" x14ac:dyDescent="0.25">
      <c r="A310" s="1">
        <v>45894</v>
      </c>
      <c r="B310">
        <f t="shared" si="11"/>
        <v>237</v>
      </c>
      <c r="C310">
        <v>17.62</v>
      </c>
      <c r="D310">
        <v>27.23</v>
      </c>
      <c r="E310">
        <v>13.66</v>
      </c>
      <c r="F310" s="2">
        <v>84.51035978679522</v>
      </c>
      <c r="G310" s="2">
        <v>57.00751373270473</v>
      </c>
      <c r="H310">
        <v>0.88</v>
      </c>
      <c r="I310">
        <v>0</v>
      </c>
      <c r="J310" s="2">
        <v>3.0998507956438761</v>
      </c>
    </row>
    <row r="311" spans="1:10" x14ac:dyDescent="0.25">
      <c r="A311" s="1">
        <v>45895</v>
      </c>
      <c r="B311">
        <f t="shared" si="11"/>
        <v>238</v>
      </c>
      <c r="C311">
        <v>20.94</v>
      </c>
      <c r="D311">
        <v>31.54</v>
      </c>
      <c r="E311">
        <v>14.09</v>
      </c>
      <c r="F311" s="2">
        <v>71.736669642431238</v>
      </c>
      <c r="G311" s="2">
        <v>47.315373853490641</v>
      </c>
      <c r="H311">
        <v>2.34</v>
      </c>
      <c r="I311">
        <v>0</v>
      </c>
      <c r="J311" s="2">
        <v>4.6148998515730302</v>
      </c>
    </row>
    <row r="312" spans="1:10" x14ac:dyDescent="0.25">
      <c r="A312" s="1">
        <v>45896</v>
      </c>
      <c r="B312">
        <f t="shared" si="11"/>
        <v>239</v>
      </c>
      <c r="C312">
        <v>18.32</v>
      </c>
      <c r="D312">
        <v>25.84</v>
      </c>
      <c r="E312">
        <v>10.85</v>
      </c>
      <c r="F312" s="2">
        <v>76.873384515510352</v>
      </c>
      <c r="G312" s="2">
        <v>50.820688808894396</v>
      </c>
      <c r="H312">
        <v>1.21</v>
      </c>
      <c r="I312">
        <v>0</v>
      </c>
      <c r="J312" s="2">
        <v>3.1770728872576175</v>
      </c>
    </row>
    <row r="313" spans="1:10" x14ac:dyDescent="0.25">
      <c r="A313" s="1">
        <v>45897</v>
      </c>
      <c r="B313">
        <f t="shared" si="11"/>
        <v>240</v>
      </c>
      <c r="C313">
        <v>13.73</v>
      </c>
      <c r="D313">
        <v>25.4</v>
      </c>
      <c r="E313">
        <v>12.29</v>
      </c>
      <c r="F313" s="2">
        <v>86.298640193344681</v>
      </c>
      <c r="G313" s="2">
        <v>57.681513808639018</v>
      </c>
      <c r="H313">
        <v>1.1000000000000001</v>
      </c>
      <c r="I313">
        <v>0.25</v>
      </c>
      <c r="J313" s="2">
        <v>2.5701956358010403</v>
      </c>
    </row>
    <row r="314" spans="1:10" x14ac:dyDescent="0.25">
      <c r="A314" s="1">
        <v>45898</v>
      </c>
      <c r="B314">
        <f t="shared" si="11"/>
        <v>241</v>
      </c>
      <c r="C314">
        <v>22.91</v>
      </c>
      <c r="D314">
        <v>26.91</v>
      </c>
      <c r="E314">
        <v>11.23</v>
      </c>
      <c r="F314" s="2">
        <v>88.3675258360458</v>
      </c>
      <c r="G314" s="2">
        <v>55.018930802894481</v>
      </c>
      <c r="H314">
        <v>1.07</v>
      </c>
      <c r="I314">
        <v>0</v>
      </c>
      <c r="J314" s="2">
        <v>3.5934964853222144</v>
      </c>
    </row>
    <row r="315" spans="1:10" x14ac:dyDescent="0.25">
      <c r="A315" s="1">
        <v>45899</v>
      </c>
      <c r="B315">
        <f t="shared" si="11"/>
        <v>242</v>
      </c>
      <c r="C315">
        <v>21.07</v>
      </c>
      <c r="D315">
        <v>27.31</v>
      </c>
      <c r="E315">
        <v>10.58</v>
      </c>
      <c r="F315" s="2">
        <v>88.549384070287431</v>
      </c>
      <c r="G315" s="2">
        <v>50.595018965078097</v>
      </c>
      <c r="H315">
        <v>0.97</v>
      </c>
      <c r="I315">
        <v>0</v>
      </c>
      <c r="J315" s="2">
        <v>3.3684837042774962</v>
      </c>
    </row>
    <row r="316" spans="1:10" x14ac:dyDescent="0.25">
      <c r="A316" s="1">
        <v>45900</v>
      </c>
      <c r="B316">
        <f t="shared" si="11"/>
        <v>243</v>
      </c>
      <c r="C316">
        <v>18.88</v>
      </c>
      <c r="D316">
        <v>29.48</v>
      </c>
      <c r="E316">
        <v>13.81</v>
      </c>
      <c r="F316" s="2">
        <v>78.658714686775497</v>
      </c>
      <c r="G316" s="2">
        <v>52.532305735077401</v>
      </c>
      <c r="H316">
        <v>0.95</v>
      </c>
      <c r="I316">
        <v>0</v>
      </c>
      <c r="J316" s="2">
        <v>3.3456783830799139</v>
      </c>
    </row>
    <row r="317" spans="1:10" x14ac:dyDescent="0.25">
      <c r="A317" s="1">
        <v>45901</v>
      </c>
      <c r="B317">
        <f t="shared" si="11"/>
        <v>244</v>
      </c>
      <c r="C317">
        <v>21.4</v>
      </c>
      <c r="D317">
        <v>32.369999999999997</v>
      </c>
      <c r="E317">
        <v>13.88</v>
      </c>
      <c r="F317" s="2">
        <v>81.991491625482269</v>
      </c>
      <c r="G317" s="2">
        <v>53.468962002942632</v>
      </c>
      <c r="H317">
        <v>0.99</v>
      </c>
      <c r="I317">
        <v>0</v>
      </c>
      <c r="J317" s="2">
        <v>3.8358077168553524</v>
      </c>
    </row>
    <row r="318" spans="1:10" x14ac:dyDescent="0.25">
      <c r="A318" s="1">
        <v>45902</v>
      </c>
      <c r="B318">
        <f t="shared" si="11"/>
        <v>245</v>
      </c>
      <c r="C318">
        <v>8.09</v>
      </c>
      <c r="D318">
        <v>25.17</v>
      </c>
      <c r="E318">
        <v>14.48</v>
      </c>
      <c r="F318" s="2">
        <v>81.906584733048618</v>
      </c>
      <c r="G318" s="2">
        <v>64.662123716743281</v>
      </c>
      <c r="H318">
        <v>0.87</v>
      </c>
      <c r="I318">
        <v>0</v>
      </c>
      <c r="J318" s="2">
        <v>1.8231830898830816</v>
      </c>
    </row>
    <row r="319" spans="1:10" x14ac:dyDescent="0.25">
      <c r="A319" s="1">
        <v>45903</v>
      </c>
      <c r="B319">
        <f t="shared" si="11"/>
        <v>246</v>
      </c>
      <c r="C319">
        <v>8.02</v>
      </c>
      <c r="D319">
        <v>22.68</v>
      </c>
      <c r="E319">
        <v>14.28</v>
      </c>
      <c r="F319" s="2">
        <v>85.197604614409485</v>
      </c>
      <c r="G319" s="2">
        <v>82.062647102863039</v>
      </c>
      <c r="H319">
        <v>0.76</v>
      </c>
      <c r="I319">
        <v>5.08</v>
      </c>
      <c r="J319" s="2">
        <v>1.5739010804669029</v>
      </c>
    </row>
    <row r="320" spans="1:10" x14ac:dyDescent="0.25">
      <c r="A320" s="1">
        <v>45904</v>
      </c>
      <c r="B320">
        <f t="shared" si="11"/>
        <v>247</v>
      </c>
      <c r="C320">
        <v>20.239999999999998</v>
      </c>
      <c r="D320">
        <v>25.18</v>
      </c>
      <c r="E320">
        <v>13.18</v>
      </c>
      <c r="F320" s="2">
        <v>98.765665373870874</v>
      </c>
      <c r="G320" s="2">
        <v>67.860882165767947</v>
      </c>
      <c r="H320">
        <v>0.77</v>
      </c>
      <c r="I320">
        <v>0</v>
      </c>
      <c r="J320" s="2">
        <v>3.0304390659628808</v>
      </c>
    </row>
    <row r="321" spans="1:10" x14ac:dyDescent="0.25">
      <c r="A321" s="1">
        <v>45905</v>
      </c>
      <c r="B321">
        <f t="shared" si="11"/>
        <v>248</v>
      </c>
      <c r="C321">
        <v>16.95</v>
      </c>
      <c r="D321">
        <v>27.18</v>
      </c>
      <c r="E321">
        <v>10.95</v>
      </c>
      <c r="F321" s="2">
        <v>83.286846364734956</v>
      </c>
      <c r="G321" s="2">
        <v>55.331461435201327</v>
      </c>
      <c r="H321">
        <v>1.4</v>
      </c>
      <c r="I321">
        <v>0</v>
      </c>
      <c r="J321" s="2">
        <v>3.0036949923250882</v>
      </c>
    </row>
    <row r="322" spans="1:10" x14ac:dyDescent="0.25">
      <c r="A322" s="1">
        <v>45906</v>
      </c>
      <c r="B322">
        <f t="shared" si="11"/>
        <v>249</v>
      </c>
      <c r="C322">
        <v>19.57</v>
      </c>
      <c r="D322">
        <v>23.74</v>
      </c>
      <c r="E322">
        <v>8.4600000000000009</v>
      </c>
      <c r="F322" s="2">
        <v>79.251756913720627</v>
      </c>
      <c r="G322" s="2">
        <v>54.065363274677303</v>
      </c>
      <c r="H322">
        <v>0.91</v>
      </c>
      <c r="I322">
        <v>0</v>
      </c>
      <c r="J322" s="2">
        <v>2.7836228310779272</v>
      </c>
    </row>
    <row r="323" spans="1:10" x14ac:dyDescent="0.25">
      <c r="A323" s="1">
        <v>45907</v>
      </c>
      <c r="B323">
        <f t="shared" si="11"/>
        <v>250</v>
      </c>
      <c r="C323">
        <v>21.12</v>
      </c>
      <c r="D323">
        <v>26.06</v>
      </c>
      <c r="E323">
        <v>6.85</v>
      </c>
      <c r="F323" s="2">
        <v>93.913398340072689</v>
      </c>
      <c r="G323" s="2">
        <v>48.225534926273568</v>
      </c>
      <c r="H323">
        <v>0.95</v>
      </c>
      <c r="I323">
        <v>0</v>
      </c>
      <c r="J323" s="2">
        <v>3.0178635677908576</v>
      </c>
    </row>
    <row r="324" spans="1:10" x14ac:dyDescent="0.25">
      <c r="A324" s="1">
        <v>45908</v>
      </c>
      <c r="B324">
        <f t="shared" si="11"/>
        <v>251</v>
      </c>
      <c r="C324">
        <v>20.64</v>
      </c>
      <c r="D324">
        <v>29.4</v>
      </c>
      <c r="E324">
        <v>9.2200000000000006</v>
      </c>
      <c r="F324" s="2">
        <v>78.490070870876252</v>
      </c>
      <c r="G324" s="2">
        <v>49.533659148534326</v>
      </c>
      <c r="H324">
        <v>1.0900000000000001</v>
      </c>
      <c r="I324">
        <v>0</v>
      </c>
      <c r="J324" s="2">
        <v>3.3228504963728982</v>
      </c>
    </row>
    <row r="325" spans="1:10" x14ac:dyDescent="0.25">
      <c r="A325" s="1">
        <v>45909</v>
      </c>
      <c r="B325">
        <f t="shared" si="11"/>
        <v>252</v>
      </c>
      <c r="C325">
        <v>18.38</v>
      </c>
      <c r="D325">
        <v>29.2</v>
      </c>
      <c r="E325">
        <v>10.56</v>
      </c>
      <c r="F325" s="2">
        <v>84.151250607719291</v>
      </c>
      <c r="G325" s="2">
        <v>51.741108636519137</v>
      </c>
      <c r="H325">
        <v>1.1200000000000001</v>
      </c>
      <c r="I325">
        <v>0</v>
      </c>
      <c r="J325" s="2">
        <v>3.0987386070248286</v>
      </c>
    </row>
    <row r="326" spans="1:10" x14ac:dyDescent="0.25">
      <c r="A326" s="1">
        <v>45910</v>
      </c>
      <c r="B326">
        <f t="shared" si="11"/>
        <v>253</v>
      </c>
      <c r="C326">
        <v>14.51</v>
      </c>
      <c r="D326">
        <v>30.11</v>
      </c>
      <c r="E326">
        <v>17.420000000000002</v>
      </c>
      <c r="F326" s="2">
        <v>65.968532077755896</v>
      </c>
      <c r="G326" s="2">
        <v>53.188707878632023</v>
      </c>
      <c r="H326">
        <v>1.57</v>
      </c>
      <c r="I326">
        <v>0.25</v>
      </c>
      <c r="J326" s="2">
        <v>3.1899606264133413</v>
      </c>
    </row>
    <row r="327" spans="1:10" x14ac:dyDescent="0.25">
      <c r="A327" s="1">
        <v>45911</v>
      </c>
      <c r="B327">
        <f t="shared" si="11"/>
        <v>254</v>
      </c>
      <c r="C327">
        <v>17.260000000000002</v>
      </c>
      <c r="D327">
        <v>25.84</v>
      </c>
      <c r="E327">
        <v>9.89</v>
      </c>
      <c r="F327" s="2">
        <v>82.813807185977439</v>
      </c>
      <c r="G327" s="2">
        <v>52.548912332797691</v>
      </c>
      <c r="H327">
        <v>2.11</v>
      </c>
      <c r="I327">
        <v>0</v>
      </c>
      <c r="J327" s="2">
        <v>3.1140776677177571</v>
      </c>
    </row>
    <row r="328" spans="1:10" x14ac:dyDescent="0.25">
      <c r="A328" s="1">
        <v>45912</v>
      </c>
      <c r="B328">
        <f t="shared" si="11"/>
        <v>255</v>
      </c>
      <c r="C328">
        <v>19.670000000000002</v>
      </c>
      <c r="D328">
        <v>23.3</v>
      </c>
      <c r="E328">
        <v>8.43</v>
      </c>
      <c r="F328" s="2">
        <v>85.95446752860795</v>
      </c>
      <c r="G328" s="2">
        <v>48.288010905016854</v>
      </c>
      <c r="H328">
        <v>1.35</v>
      </c>
      <c r="I328">
        <v>0</v>
      </c>
      <c r="J328" s="2">
        <v>2.8164655506061331</v>
      </c>
    </row>
    <row r="329" spans="1:10" x14ac:dyDescent="0.25">
      <c r="A329" s="1">
        <v>45913</v>
      </c>
      <c r="B329">
        <f t="shared" si="11"/>
        <v>256</v>
      </c>
      <c r="C329">
        <v>11.32</v>
      </c>
      <c r="D329">
        <v>20</v>
      </c>
      <c r="E329">
        <v>6.03</v>
      </c>
      <c r="F329" s="2">
        <v>94.596050412544528</v>
      </c>
      <c r="G329" s="2">
        <v>60.299836477809954</v>
      </c>
      <c r="H329">
        <v>1.67</v>
      </c>
      <c r="I329">
        <v>0</v>
      </c>
      <c r="J329" s="2">
        <v>1.8954209210292217</v>
      </c>
    </row>
    <row r="330" spans="1:10" x14ac:dyDescent="0.25">
      <c r="A330" s="1">
        <v>45914</v>
      </c>
      <c r="B330">
        <f t="shared" si="11"/>
        <v>257</v>
      </c>
      <c r="C330">
        <v>4.29</v>
      </c>
      <c r="D330">
        <v>18.95</v>
      </c>
      <c r="E330">
        <v>10.56</v>
      </c>
      <c r="F330" s="2">
        <v>90.118213729744809</v>
      </c>
      <c r="G330" s="2">
        <v>68.86779203852565</v>
      </c>
      <c r="H330">
        <v>1.52</v>
      </c>
      <c r="I330">
        <v>0</v>
      </c>
      <c r="J330" s="2">
        <v>1.2620049853009963</v>
      </c>
    </row>
    <row r="331" spans="1:10" x14ac:dyDescent="0.25">
      <c r="A331" s="1">
        <v>45915</v>
      </c>
      <c r="B331">
        <f t="shared" ref="B331:B394" si="12">A331-DATE(YEAR(A331),1,1)+1</f>
        <v>258</v>
      </c>
      <c r="C331">
        <v>9.1300000000000008</v>
      </c>
      <c r="D331">
        <v>17.95</v>
      </c>
      <c r="E331">
        <v>10.83</v>
      </c>
      <c r="F331" s="2">
        <v>77.986175309555591</v>
      </c>
      <c r="G331" s="2">
        <v>76.693437416162141</v>
      </c>
      <c r="H331">
        <v>3.03</v>
      </c>
      <c r="I331">
        <v>3.81</v>
      </c>
      <c r="J331" s="2">
        <v>1.8075481895503676</v>
      </c>
    </row>
    <row r="332" spans="1:10" x14ac:dyDescent="0.25">
      <c r="A332" s="1">
        <v>45916</v>
      </c>
      <c r="B332">
        <f t="shared" si="12"/>
        <v>259</v>
      </c>
      <c r="C332">
        <v>7.92</v>
      </c>
      <c r="D332">
        <v>17.079999999999998</v>
      </c>
      <c r="E332">
        <v>6.96</v>
      </c>
      <c r="F332" s="2">
        <v>94.963725672863916</v>
      </c>
      <c r="G332" s="2">
        <v>76.302805400820745</v>
      </c>
      <c r="H332">
        <v>1.75</v>
      </c>
      <c r="I332">
        <v>9.65</v>
      </c>
      <c r="J332" s="2">
        <v>1.3213081046298401</v>
      </c>
    </row>
    <row r="333" spans="1:10" x14ac:dyDescent="0.25">
      <c r="A333" s="1">
        <v>45917</v>
      </c>
      <c r="B333">
        <f t="shared" si="12"/>
        <v>260</v>
      </c>
      <c r="C333">
        <v>8.41</v>
      </c>
      <c r="D333">
        <v>18.920000000000002</v>
      </c>
      <c r="E333">
        <v>12.05</v>
      </c>
      <c r="F333" s="2">
        <v>64.454724273646548</v>
      </c>
      <c r="G333" s="2">
        <v>67.87757989023352</v>
      </c>
      <c r="H333">
        <v>2.66</v>
      </c>
      <c r="I333">
        <v>0.51</v>
      </c>
      <c r="J333" s="2">
        <v>2.0814989536608071</v>
      </c>
    </row>
    <row r="334" spans="1:10" x14ac:dyDescent="0.25">
      <c r="A334" s="1">
        <v>45918</v>
      </c>
      <c r="B334">
        <f t="shared" si="12"/>
        <v>261</v>
      </c>
      <c r="C334">
        <v>9.1</v>
      </c>
      <c r="D334">
        <v>18.05</v>
      </c>
      <c r="E334">
        <v>8.2100000000000009</v>
      </c>
      <c r="F334" s="2">
        <v>92.635388588921089</v>
      </c>
      <c r="G334" s="2">
        <v>74.983112555877938</v>
      </c>
      <c r="H334">
        <v>1.26</v>
      </c>
      <c r="I334">
        <v>2.29</v>
      </c>
      <c r="J334" s="2">
        <v>1.4062754230772487</v>
      </c>
    </row>
    <row r="335" spans="1:10" x14ac:dyDescent="0.25">
      <c r="A335" s="1">
        <v>45919</v>
      </c>
      <c r="B335">
        <f t="shared" si="12"/>
        <v>262</v>
      </c>
      <c r="C335">
        <v>19.11</v>
      </c>
      <c r="D335">
        <v>21.02</v>
      </c>
      <c r="E335">
        <v>7.25</v>
      </c>
      <c r="F335" s="2">
        <v>98.502400036765977</v>
      </c>
      <c r="G335" s="2">
        <v>59.601298401815839</v>
      </c>
      <c r="H335">
        <v>0.97</v>
      </c>
      <c r="I335">
        <v>0.25</v>
      </c>
      <c r="J335" s="2">
        <v>2.2396790078687836</v>
      </c>
    </row>
    <row r="336" spans="1:10" x14ac:dyDescent="0.25">
      <c r="A336" s="1">
        <v>45920</v>
      </c>
      <c r="B336">
        <f t="shared" si="12"/>
        <v>263</v>
      </c>
      <c r="C336">
        <v>19.27</v>
      </c>
      <c r="D336">
        <v>23.5</v>
      </c>
      <c r="E336">
        <v>6</v>
      </c>
      <c r="F336" s="2">
        <v>97.399486054596736</v>
      </c>
      <c r="G336" s="2">
        <v>51.79470152980381</v>
      </c>
      <c r="H336">
        <v>0.9</v>
      </c>
      <c r="I336">
        <v>0</v>
      </c>
      <c r="J336" s="2">
        <v>2.3367832840751106</v>
      </c>
    </row>
    <row r="337" spans="1:10" x14ac:dyDescent="0.25">
      <c r="A337" s="1">
        <v>45921</v>
      </c>
      <c r="B337">
        <f t="shared" si="12"/>
        <v>264</v>
      </c>
      <c r="C337">
        <v>19.09</v>
      </c>
      <c r="D337">
        <v>26.06</v>
      </c>
      <c r="E337">
        <v>7.15</v>
      </c>
      <c r="F337" s="2">
        <v>93.023157153211528</v>
      </c>
      <c r="G337" s="2">
        <v>53.489266420679293</v>
      </c>
      <c r="H337">
        <v>0.95</v>
      </c>
      <c r="I337">
        <v>0</v>
      </c>
      <c r="J337" s="2">
        <v>2.4913245682898553</v>
      </c>
    </row>
    <row r="338" spans="1:10" x14ac:dyDescent="0.25">
      <c r="A338" s="1">
        <v>45922</v>
      </c>
      <c r="B338">
        <f t="shared" si="12"/>
        <v>265</v>
      </c>
      <c r="C338">
        <v>18.57</v>
      </c>
      <c r="D338">
        <v>26.74</v>
      </c>
      <c r="E338">
        <v>8.42</v>
      </c>
      <c r="F338" s="2">
        <v>95.346920303003699</v>
      </c>
      <c r="G338" s="2">
        <v>51.91607255622921</v>
      </c>
      <c r="H338">
        <v>0.73</v>
      </c>
      <c r="I338">
        <v>0</v>
      </c>
      <c r="J338" s="2">
        <v>2.398416140445276</v>
      </c>
    </row>
    <row r="339" spans="1:10" x14ac:dyDescent="0.25">
      <c r="A339" s="1">
        <v>45923</v>
      </c>
      <c r="B339">
        <f t="shared" si="12"/>
        <v>266</v>
      </c>
      <c r="C339">
        <v>17.91</v>
      </c>
      <c r="D339">
        <v>27.98</v>
      </c>
      <c r="E339">
        <v>9.19</v>
      </c>
      <c r="F339" s="2">
        <v>94.794575399260168</v>
      </c>
      <c r="G339" s="2">
        <v>47.153968545156033</v>
      </c>
      <c r="H339">
        <v>0.75</v>
      </c>
      <c r="I339">
        <v>0</v>
      </c>
      <c r="J339" s="2">
        <v>2.4151358745487377</v>
      </c>
    </row>
    <row r="340" spans="1:10" x14ac:dyDescent="0.25">
      <c r="A340" s="1">
        <v>45924</v>
      </c>
      <c r="B340">
        <f t="shared" si="12"/>
        <v>267</v>
      </c>
      <c r="C340">
        <v>17.66</v>
      </c>
      <c r="D340">
        <v>29.31</v>
      </c>
      <c r="E340">
        <v>10.039999999999999</v>
      </c>
      <c r="F340" s="2">
        <v>89.956491267030799</v>
      </c>
      <c r="G340" s="2">
        <v>49.509629764957332</v>
      </c>
      <c r="H340">
        <v>0.8</v>
      </c>
      <c r="I340">
        <v>0</v>
      </c>
      <c r="J340" s="2">
        <v>2.4905738367949759</v>
      </c>
    </row>
    <row r="341" spans="1:10" x14ac:dyDescent="0.25">
      <c r="A341" s="1">
        <v>45925</v>
      </c>
      <c r="B341">
        <f t="shared" si="12"/>
        <v>268</v>
      </c>
      <c r="C341">
        <v>15.88</v>
      </c>
      <c r="D341">
        <v>29.86</v>
      </c>
      <c r="E341">
        <v>11.33</v>
      </c>
      <c r="F341" s="2">
        <v>87.370410674499965</v>
      </c>
      <c r="G341" s="2">
        <v>46.770977380808112</v>
      </c>
      <c r="H341">
        <v>0.95</v>
      </c>
      <c r="I341">
        <v>0</v>
      </c>
      <c r="J341" s="2">
        <v>2.4765640853471313</v>
      </c>
    </row>
    <row r="342" spans="1:10" x14ac:dyDescent="0.25">
      <c r="A342" s="1">
        <v>45926</v>
      </c>
      <c r="B342">
        <f t="shared" si="12"/>
        <v>269</v>
      </c>
      <c r="C342">
        <v>11.37</v>
      </c>
      <c r="D342">
        <v>21.75</v>
      </c>
      <c r="E342">
        <v>11.78</v>
      </c>
      <c r="F342" s="2">
        <v>58.583940743513594</v>
      </c>
      <c r="G342" s="2">
        <v>67.760151325818512</v>
      </c>
      <c r="H342">
        <v>4.25</v>
      </c>
      <c r="I342">
        <v>1.52</v>
      </c>
      <c r="J342" s="2">
        <v>2.7437226349087371</v>
      </c>
    </row>
    <row r="343" spans="1:10" x14ac:dyDescent="0.25">
      <c r="A343" s="1">
        <v>45927</v>
      </c>
      <c r="B343">
        <f t="shared" si="12"/>
        <v>270</v>
      </c>
      <c r="C343">
        <v>17.22</v>
      </c>
      <c r="D343">
        <v>21.87</v>
      </c>
      <c r="E343">
        <v>7.78</v>
      </c>
      <c r="F343" s="2">
        <v>69.544840466444711</v>
      </c>
      <c r="G343" s="2">
        <v>44.663069179651565</v>
      </c>
      <c r="H343">
        <v>2.0299999999999998</v>
      </c>
      <c r="I343">
        <v>0</v>
      </c>
      <c r="J343" s="2">
        <v>2.552382443885497</v>
      </c>
    </row>
    <row r="344" spans="1:10" x14ac:dyDescent="0.25">
      <c r="A344" s="1">
        <v>45928</v>
      </c>
      <c r="B344">
        <f t="shared" si="12"/>
        <v>271</v>
      </c>
      <c r="C344">
        <v>16.97</v>
      </c>
      <c r="D344">
        <v>25.72</v>
      </c>
      <c r="E344">
        <v>7.27</v>
      </c>
      <c r="F344" s="2">
        <v>95.369735955588709</v>
      </c>
      <c r="G344" s="2">
        <v>49.910817025324846</v>
      </c>
      <c r="H344">
        <v>1.03</v>
      </c>
      <c r="I344">
        <v>0</v>
      </c>
      <c r="J344" s="2">
        <v>2.1726930957875243</v>
      </c>
    </row>
    <row r="345" spans="1:10" x14ac:dyDescent="0.25">
      <c r="A345" s="1">
        <v>45929</v>
      </c>
      <c r="B345">
        <f t="shared" si="12"/>
        <v>272</v>
      </c>
      <c r="C345">
        <v>16.7</v>
      </c>
      <c r="D345">
        <v>24.89</v>
      </c>
      <c r="E345">
        <v>8.82</v>
      </c>
      <c r="F345" s="2">
        <v>96.012493702688047</v>
      </c>
      <c r="G345" s="2">
        <v>61.183159007320967</v>
      </c>
      <c r="H345">
        <v>0.77</v>
      </c>
      <c r="I345">
        <v>0</v>
      </c>
      <c r="J345" s="2">
        <v>1.9816543190087457</v>
      </c>
    </row>
    <row r="346" spans="1:10" x14ac:dyDescent="0.25">
      <c r="A346" s="1">
        <v>45930</v>
      </c>
      <c r="B346">
        <f t="shared" si="12"/>
        <v>273</v>
      </c>
      <c r="C346">
        <v>4.0999999999999996</v>
      </c>
      <c r="D346">
        <v>21.83</v>
      </c>
      <c r="E346">
        <v>13.82</v>
      </c>
      <c r="F346" s="2">
        <v>78.976590551249771</v>
      </c>
      <c r="G346" s="2">
        <v>72.105364032291675</v>
      </c>
      <c r="H346">
        <v>0.96</v>
      </c>
      <c r="I346">
        <v>0</v>
      </c>
      <c r="J346" s="2">
        <v>1.1415152763420602</v>
      </c>
    </row>
    <row r="347" spans="1:10" x14ac:dyDescent="0.25">
      <c r="A347" s="1">
        <v>45931</v>
      </c>
      <c r="B347">
        <f t="shared" si="12"/>
        <v>274</v>
      </c>
      <c r="C347">
        <v>2.66</v>
      </c>
      <c r="D347">
        <v>18.78</v>
      </c>
      <c r="E347">
        <v>10.94</v>
      </c>
      <c r="F347" s="2">
        <v>74.751028839947537</v>
      </c>
      <c r="G347" s="2">
        <v>78.377717554502013</v>
      </c>
      <c r="H347">
        <v>1.79</v>
      </c>
      <c r="I347">
        <v>0.25</v>
      </c>
      <c r="J347" s="2">
        <v>1.1263165626896421</v>
      </c>
    </row>
    <row r="348" spans="1:10" x14ac:dyDescent="0.25">
      <c r="A348" s="1">
        <v>45932</v>
      </c>
      <c r="B348">
        <f t="shared" si="12"/>
        <v>275</v>
      </c>
      <c r="C348">
        <v>14.64</v>
      </c>
      <c r="D348">
        <v>20.46</v>
      </c>
      <c r="E348">
        <v>8.16</v>
      </c>
      <c r="F348" s="2">
        <v>72.185651053925255</v>
      </c>
      <c r="G348" s="2">
        <v>49.425101037809206</v>
      </c>
      <c r="H348">
        <v>3.42</v>
      </c>
      <c r="I348">
        <v>0</v>
      </c>
      <c r="J348" s="2">
        <v>2.6444490339229016</v>
      </c>
    </row>
    <row r="349" spans="1:10" x14ac:dyDescent="0.25">
      <c r="A349" s="1">
        <v>45933</v>
      </c>
      <c r="B349">
        <f t="shared" si="12"/>
        <v>276</v>
      </c>
      <c r="C349">
        <v>8.34</v>
      </c>
      <c r="D349">
        <v>21.42</v>
      </c>
      <c r="E349">
        <v>10.130000000000001</v>
      </c>
      <c r="F349" s="2">
        <v>77.446870969580331</v>
      </c>
      <c r="G349" s="2">
        <v>55.800814388969485</v>
      </c>
      <c r="H349">
        <v>3.26</v>
      </c>
      <c r="I349">
        <v>0.76</v>
      </c>
      <c r="J349" s="2">
        <v>2.247584493136273</v>
      </c>
    </row>
    <row r="350" spans="1:10" x14ac:dyDescent="0.25">
      <c r="A350" s="1">
        <v>45934</v>
      </c>
      <c r="B350">
        <f t="shared" si="12"/>
        <v>277</v>
      </c>
      <c r="C350">
        <v>12.46</v>
      </c>
      <c r="D350">
        <v>20.37</v>
      </c>
      <c r="E350">
        <v>12.11</v>
      </c>
      <c r="F350" s="2">
        <v>65.007773877736668</v>
      </c>
      <c r="G350" s="2">
        <v>53.179808607598503</v>
      </c>
      <c r="H350">
        <v>5.75</v>
      </c>
      <c r="I350">
        <v>0</v>
      </c>
      <c r="J350" s="2">
        <v>3.2674822150624383</v>
      </c>
    </row>
    <row r="351" spans="1:10" x14ac:dyDescent="0.25">
      <c r="A351" s="1">
        <v>45935</v>
      </c>
      <c r="B351">
        <f t="shared" si="12"/>
        <v>278</v>
      </c>
      <c r="C351">
        <v>14.39</v>
      </c>
      <c r="D351">
        <v>18.63</v>
      </c>
      <c r="E351">
        <v>4.46</v>
      </c>
      <c r="F351" s="2">
        <v>65.199342223839935</v>
      </c>
      <c r="G351" s="2">
        <v>51.13056046862927</v>
      </c>
      <c r="H351">
        <v>1.86</v>
      </c>
      <c r="I351">
        <v>0</v>
      </c>
      <c r="J351" s="2">
        <v>1.8565691489850886</v>
      </c>
    </row>
    <row r="352" spans="1:10" x14ac:dyDescent="0.25">
      <c r="A352" s="1">
        <v>45936</v>
      </c>
      <c r="B352">
        <f t="shared" si="12"/>
        <v>279</v>
      </c>
      <c r="C352">
        <v>8.23</v>
      </c>
      <c r="D352">
        <v>13.3</v>
      </c>
      <c r="E352">
        <v>2.34</v>
      </c>
      <c r="F352" s="2">
        <v>92.01823485260104</v>
      </c>
      <c r="G352" s="2">
        <v>64.562918801418206</v>
      </c>
      <c r="H352">
        <v>0.95</v>
      </c>
      <c r="I352">
        <v>0</v>
      </c>
      <c r="J352" s="2">
        <v>0.95699171293040663</v>
      </c>
    </row>
    <row r="353" spans="1:10" x14ac:dyDescent="0.25">
      <c r="A353" s="1">
        <v>45937</v>
      </c>
      <c r="B353">
        <f t="shared" si="12"/>
        <v>280</v>
      </c>
      <c r="C353">
        <v>14.87</v>
      </c>
      <c r="D353">
        <v>16.72</v>
      </c>
      <c r="E353">
        <v>0.96</v>
      </c>
      <c r="F353" s="2">
        <v>79.358683350751164</v>
      </c>
      <c r="G353" s="2">
        <v>45.125017265572041</v>
      </c>
      <c r="H353">
        <v>1.52</v>
      </c>
      <c r="I353">
        <v>0</v>
      </c>
      <c r="J353" s="2">
        <v>1.5528100963854063</v>
      </c>
    </row>
    <row r="354" spans="1:10" x14ac:dyDescent="0.25">
      <c r="A354" s="1">
        <v>45938</v>
      </c>
      <c r="B354">
        <f t="shared" si="12"/>
        <v>281</v>
      </c>
      <c r="C354">
        <v>5.4</v>
      </c>
      <c r="D354">
        <v>11.56</v>
      </c>
      <c r="E354">
        <v>2.4</v>
      </c>
      <c r="F354" s="2">
        <v>90.182782578238402</v>
      </c>
      <c r="G354" s="2">
        <v>77.941112379018293</v>
      </c>
      <c r="H354">
        <v>1.4</v>
      </c>
      <c r="I354">
        <v>9.65</v>
      </c>
      <c r="J354" s="2">
        <v>0.78880900725634095</v>
      </c>
    </row>
    <row r="355" spans="1:10" x14ac:dyDescent="0.25">
      <c r="A355" s="1">
        <v>45939</v>
      </c>
      <c r="B355">
        <f t="shared" si="12"/>
        <v>282</v>
      </c>
      <c r="C355">
        <v>11.87</v>
      </c>
      <c r="D355">
        <v>16.37</v>
      </c>
      <c r="E355">
        <v>5.59</v>
      </c>
      <c r="F355" s="2">
        <v>70.143362022072779</v>
      </c>
      <c r="G355" s="2">
        <v>61.045000727255648</v>
      </c>
      <c r="H355">
        <v>3.6</v>
      </c>
      <c r="I355">
        <v>0</v>
      </c>
      <c r="J355" s="2">
        <v>1.9025966254068585</v>
      </c>
    </row>
    <row r="356" spans="1:10" x14ac:dyDescent="0.25">
      <c r="A356" s="1">
        <v>45940</v>
      </c>
      <c r="B356">
        <f t="shared" si="12"/>
        <v>283</v>
      </c>
      <c r="C356">
        <v>14.74</v>
      </c>
      <c r="D356">
        <v>16.18</v>
      </c>
      <c r="E356">
        <v>1.89</v>
      </c>
      <c r="F356" s="2">
        <v>93.193923199931589</v>
      </c>
      <c r="G356" s="2">
        <v>56.63866122320178</v>
      </c>
      <c r="H356">
        <v>1.44</v>
      </c>
      <c r="I356">
        <v>0</v>
      </c>
      <c r="J356" s="2">
        <v>1.2861638351051385</v>
      </c>
    </row>
    <row r="357" spans="1:10" x14ac:dyDescent="0.25">
      <c r="A357" s="1">
        <v>45941</v>
      </c>
      <c r="B357">
        <f t="shared" si="12"/>
        <v>284</v>
      </c>
      <c r="C357">
        <v>13</v>
      </c>
      <c r="D357">
        <v>15.74</v>
      </c>
      <c r="E357">
        <v>2.0499999999999998</v>
      </c>
      <c r="F357" s="2">
        <v>75.976648081673062</v>
      </c>
      <c r="G357" s="2">
        <v>52.037274373164287</v>
      </c>
      <c r="H357">
        <v>1.99</v>
      </c>
      <c r="I357">
        <v>0</v>
      </c>
      <c r="J357" s="2">
        <v>1.4835950312105233</v>
      </c>
    </row>
    <row r="358" spans="1:10" x14ac:dyDescent="0.25">
      <c r="A358" s="1">
        <v>45942</v>
      </c>
      <c r="B358">
        <f t="shared" si="12"/>
        <v>285</v>
      </c>
      <c r="C358">
        <v>11.43</v>
      </c>
      <c r="D358">
        <v>16.63</v>
      </c>
      <c r="E358">
        <v>0.87</v>
      </c>
      <c r="F358" s="2">
        <v>94.023131656594302</v>
      </c>
      <c r="G358" s="2">
        <v>61.231485392914429</v>
      </c>
      <c r="H358">
        <v>0.98</v>
      </c>
      <c r="I358">
        <v>0</v>
      </c>
      <c r="J358" s="2">
        <v>1.0228015347857708</v>
      </c>
    </row>
    <row r="359" spans="1:10" x14ac:dyDescent="0.25">
      <c r="A359" s="1">
        <v>45943</v>
      </c>
      <c r="B359">
        <f t="shared" si="12"/>
        <v>286</v>
      </c>
      <c r="C359">
        <v>13.95</v>
      </c>
      <c r="D359">
        <v>19.32</v>
      </c>
      <c r="E359">
        <v>4.9000000000000004</v>
      </c>
      <c r="F359" s="2">
        <v>96.42482760701516</v>
      </c>
      <c r="G359" s="2">
        <v>55.332549818622809</v>
      </c>
      <c r="H359">
        <v>1.0900000000000001</v>
      </c>
      <c r="I359">
        <v>0</v>
      </c>
      <c r="J359" s="2">
        <v>1.2302796543716985</v>
      </c>
    </row>
    <row r="360" spans="1:10" x14ac:dyDescent="0.25">
      <c r="A360" s="1">
        <v>45944</v>
      </c>
      <c r="B360">
        <f t="shared" si="12"/>
        <v>287</v>
      </c>
      <c r="C360">
        <v>12.56</v>
      </c>
      <c r="D360">
        <v>20.38</v>
      </c>
      <c r="E360">
        <v>5.12</v>
      </c>
      <c r="F360" s="2">
        <v>96.363688177402167</v>
      </c>
      <c r="G360" s="2">
        <v>52.197072984043899</v>
      </c>
      <c r="H360">
        <v>0.75</v>
      </c>
      <c r="I360">
        <v>0</v>
      </c>
      <c r="J360" s="2">
        <v>1.0988711978322279</v>
      </c>
    </row>
    <row r="361" spans="1:10" x14ac:dyDescent="0.25">
      <c r="A361" s="1">
        <v>45945</v>
      </c>
      <c r="B361">
        <f t="shared" si="12"/>
        <v>288</v>
      </c>
      <c r="C361">
        <v>11.54</v>
      </c>
      <c r="D361">
        <v>18.54</v>
      </c>
      <c r="E361">
        <v>4.57</v>
      </c>
      <c r="F361" s="2">
        <v>97.780342825660355</v>
      </c>
      <c r="G361" s="2">
        <v>64.316876669670236</v>
      </c>
      <c r="H361">
        <v>0.75</v>
      </c>
      <c r="I361">
        <v>0</v>
      </c>
      <c r="J361" s="2">
        <v>0.95605181317466803</v>
      </c>
    </row>
    <row r="362" spans="1:10" x14ac:dyDescent="0.25">
      <c r="A362" s="1">
        <v>45946</v>
      </c>
      <c r="B362">
        <f t="shared" si="12"/>
        <v>289</v>
      </c>
      <c r="C362">
        <v>12.92</v>
      </c>
      <c r="D362">
        <v>19.98</v>
      </c>
      <c r="E362">
        <v>4.29</v>
      </c>
      <c r="F362" s="2">
        <v>97.706434939606694</v>
      </c>
      <c r="G362" s="2">
        <v>62.14754007551727</v>
      </c>
      <c r="H362">
        <v>0.73</v>
      </c>
      <c r="I362">
        <v>0</v>
      </c>
      <c r="J362" s="2">
        <v>0.99309123665484655</v>
      </c>
    </row>
    <row r="363" spans="1:10" x14ac:dyDescent="0.25">
      <c r="A363" s="1">
        <v>45947</v>
      </c>
      <c r="B363">
        <f t="shared" si="12"/>
        <v>290</v>
      </c>
      <c r="C363">
        <v>12.82</v>
      </c>
      <c r="D363">
        <v>21.91</v>
      </c>
      <c r="E363">
        <v>3.65</v>
      </c>
      <c r="F363" s="2">
        <v>98.52729269264384</v>
      </c>
      <c r="G363" s="2">
        <v>52.640945656906112</v>
      </c>
      <c r="H363">
        <v>1.1100000000000001</v>
      </c>
      <c r="I363">
        <v>0</v>
      </c>
      <c r="J363" s="2">
        <v>1.2022953231974354</v>
      </c>
    </row>
    <row r="364" spans="1:10" x14ac:dyDescent="0.25">
      <c r="A364" s="1">
        <v>45948</v>
      </c>
      <c r="B364">
        <f t="shared" si="12"/>
        <v>291</v>
      </c>
      <c r="C364">
        <v>10.29</v>
      </c>
      <c r="D364">
        <v>16.48</v>
      </c>
      <c r="E364">
        <v>1.59</v>
      </c>
      <c r="F364" s="2">
        <v>95.15210370103685</v>
      </c>
      <c r="G364" s="2">
        <v>56.561638001144324</v>
      </c>
      <c r="H364">
        <v>1.25</v>
      </c>
      <c r="I364">
        <v>0</v>
      </c>
      <c r="J364" s="2">
        <v>0.9682869143622661</v>
      </c>
    </row>
    <row r="365" spans="1:10" x14ac:dyDescent="0.25">
      <c r="A365" s="1">
        <v>45949</v>
      </c>
      <c r="B365">
        <f t="shared" si="12"/>
        <v>292</v>
      </c>
      <c r="C365">
        <v>12.42</v>
      </c>
      <c r="D365">
        <v>18.07</v>
      </c>
      <c r="E365">
        <v>1.8</v>
      </c>
      <c r="F365" s="2">
        <v>78.325569377266063</v>
      </c>
      <c r="G365" s="2">
        <v>46.660271676867232</v>
      </c>
      <c r="H365">
        <v>1.1200000000000001</v>
      </c>
      <c r="I365">
        <v>0</v>
      </c>
      <c r="J365" s="2">
        <v>1.0431114186969614</v>
      </c>
    </row>
    <row r="366" spans="1:10" x14ac:dyDescent="0.25">
      <c r="A366" s="1">
        <v>45950</v>
      </c>
      <c r="B366">
        <f t="shared" si="12"/>
        <v>293</v>
      </c>
      <c r="C366">
        <v>12.49</v>
      </c>
      <c r="D366">
        <v>16.25</v>
      </c>
      <c r="E366">
        <v>-1.01</v>
      </c>
      <c r="F366" s="2">
        <v>94.138972771206213</v>
      </c>
      <c r="G366" s="2">
        <v>47.446298277911239</v>
      </c>
      <c r="H366">
        <v>0.93</v>
      </c>
      <c r="I366">
        <v>0</v>
      </c>
      <c r="J366" s="2">
        <v>0.83145056715429266</v>
      </c>
    </row>
    <row r="367" spans="1:10" x14ac:dyDescent="0.25">
      <c r="A367" s="1">
        <v>45951</v>
      </c>
      <c r="B367">
        <f t="shared" si="12"/>
        <v>294</v>
      </c>
      <c r="C367">
        <v>11.87</v>
      </c>
      <c r="D367">
        <v>16.21</v>
      </c>
      <c r="E367">
        <v>-0.72</v>
      </c>
      <c r="F367" s="2">
        <v>94.29185914216977</v>
      </c>
      <c r="G367" s="2">
        <v>50.568010325953018</v>
      </c>
      <c r="H367">
        <v>0.68</v>
      </c>
      <c r="I367">
        <v>0</v>
      </c>
      <c r="J367" s="2">
        <v>0.68970045072983355</v>
      </c>
    </row>
    <row r="368" spans="1:10" x14ac:dyDescent="0.25">
      <c r="A368" s="1">
        <v>45952</v>
      </c>
      <c r="B368">
        <f t="shared" si="12"/>
        <v>295</v>
      </c>
      <c r="C368">
        <v>8.32</v>
      </c>
      <c r="D368">
        <v>17.25</v>
      </c>
      <c r="E368">
        <v>1.52</v>
      </c>
      <c r="F368" s="2">
        <v>94.87461846760813</v>
      </c>
      <c r="G368" s="2">
        <v>54.715899940364821</v>
      </c>
      <c r="H368">
        <v>0.98</v>
      </c>
      <c r="I368">
        <v>0</v>
      </c>
      <c r="J368" s="2">
        <v>0.82622233926818567</v>
      </c>
    </row>
    <row r="369" spans="1:10" x14ac:dyDescent="0.25">
      <c r="A369" s="1">
        <v>45953</v>
      </c>
      <c r="B369">
        <f t="shared" si="12"/>
        <v>296</v>
      </c>
      <c r="C369">
        <v>9.44</v>
      </c>
      <c r="D369">
        <v>16.239999999999998</v>
      </c>
      <c r="E369">
        <v>2.41</v>
      </c>
      <c r="F369" s="2">
        <v>73.17748649211633</v>
      </c>
      <c r="G369" s="2">
        <v>47.311201279926856</v>
      </c>
      <c r="H369">
        <v>2.25</v>
      </c>
      <c r="I369">
        <v>0</v>
      </c>
      <c r="J369" s="2">
        <v>1.3784862661618613</v>
      </c>
    </row>
    <row r="370" spans="1:10" x14ac:dyDescent="0.25">
      <c r="A370" s="1">
        <v>45954</v>
      </c>
      <c r="B370">
        <f t="shared" si="12"/>
        <v>297</v>
      </c>
      <c r="C370">
        <v>11.28</v>
      </c>
      <c r="D370">
        <v>14.64</v>
      </c>
      <c r="E370">
        <v>0.3</v>
      </c>
      <c r="F370" s="2">
        <v>87.276487592004585</v>
      </c>
      <c r="G370" s="2">
        <v>47.45152562894534</v>
      </c>
      <c r="H370">
        <v>1.2</v>
      </c>
      <c r="I370">
        <v>0</v>
      </c>
      <c r="J370" s="2">
        <v>0.79198501719509617</v>
      </c>
    </row>
    <row r="371" spans="1:10" x14ac:dyDescent="0.25">
      <c r="A371" s="1">
        <v>45955</v>
      </c>
      <c r="B371">
        <f t="shared" si="12"/>
        <v>298</v>
      </c>
      <c r="C371">
        <v>10.58</v>
      </c>
      <c r="D371">
        <v>14.01</v>
      </c>
      <c r="E371">
        <v>-0.76</v>
      </c>
      <c r="F371" s="2">
        <v>92.08802924840532</v>
      </c>
      <c r="G371" s="2">
        <v>49.566278277640095</v>
      </c>
      <c r="H371">
        <v>1.02</v>
      </c>
      <c r="I371">
        <v>0</v>
      </c>
      <c r="J371" s="2">
        <v>0.66874455971036317</v>
      </c>
    </row>
    <row r="372" spans="1:10" x14ac:dyDescent="0.25">
      <c r="A372" s="1">
        <v>45956</v>
      </c>
      <c r="B372">
        <f t="shared" si="12"/>
        <v>299</v>
      </c>
      <c r="C372">
        <v>5.62</v>
      </c>
      <c r="D372">
        <v>11.29</v>
      </c>
      <c r="E372">
        <v>-0.7</v>
      </c>
      <c r="F372" s="2">
        <v>91.278344501796241</v>
      </c>
      <c r="G372" s="2">
        <v>75.070069106032975</v>
      </c>
      <c r="H372">
        <v>0.68</v>
      </c>
      <c r="I372">
        <v>3.3</v>
      </c>
      <c r="J372" s="2">
        <v>0.47356518159288075</v>
      </c>
    </row>
    <row r="373" spans="1:10" x14ac:dyDescent="0.25">
      <c r="A373" s="1">
        <v>45957</v>
      </c>
      <c r="B373">
        <f t="shared" si="12"/>
        <v>300</v>
      </c>
      <c r="C373">
        <v>10.47</v>
      </c>
      <c r="D373">
        <v>15.77</v>
      </c>
      <c r="E373">
        <v>1.73</v>
      </c>
      <c r="F373" s="2">
        <v>97.097090533709846</v>
      </c>
      <c r="G373" s="2">
        <v>64.552671916435727</v>
      </c>
      <c r="H373">
        <v>0.92</v>
      </c>
      <c r="I373">
        <v>0.25</v>
      </c>
      <c r="J373" s="2">
        <v>0.55403634433693871</v>
      </c>
    </row>
    <row r="374" spans="1:10" x14ac:dyDescent="0.25">
      <c r="A374" s="1">
        <v>45958</v>
      </c>
      <c r="B374">
        <f t="shared" si="12"/>
        <v>301</v>
      </c>
      <c r="C374">
        <v>4.8499999999999996</v>
      </c>
      <c r="D374">
        <v>12.36</v>
      </c>
      <c r="E374">
        <v>3.1</v>
      </c>
      <c r="F374" s="2">
        <v>95.415331037813786</v>
      </c>
      <c r="G374" s="2">
        <v>80.478582846291502</v>
      </c>
      <c r="H374">
        <v>0.99</v>
      </c>
      <c r="I374">
        <v>1.27</v>
      </c>
      <c r="J374" s="2">
        <v>0.49426205041253662</v>
      </c>
    </row>
    <row r="375" spans="1:10" x14ac:dyDescent="0.25">
      <c r="A375" s="1">
        <v>45959</v>
      </c>
      <c r="B375">
        <f t="shared" si="12"/>
        <v>302</v>
      </c>
      <c r="C375">
        <v>4.75</v>
      </c>
      <c r="D375">
        <v>15.77</v>
      </c>
      <c r="E375">
        <v>8.84</v>
      </c>
      <c r="F375" s="2">
        <v>77.076028567724364</v>
      </c>
      <c r="G375" s="2">
        <v>74.986562412914125</v>
      </c>
      <c r="H375">
        <v>3.1</v>
      </c>
      <c r="I375">
        <v>7.11</v>
      </c>
      <c r="J375" s="2">
        <v>1.1096434001584234</v>
      </c>
    </row>
    <row r="376" spans="1:10" x14ac:dyDescent="0.25">
      <c r="A376" s="1">
        <v>45960</v>
      </c>
      <c r="B376">
        <f t="shared" si="12"/>
        <v>303</v>
      </c>
      <c r="C376">
        <v>2.12</v>
      </c>
      <c r="D376">
        <v>17.38</v>
      </c>
      <c r="E376">
        <v>7.96</v>
      </c>
      <c r="F376" s="2">
        <v>88.378612761453368</v>
      </c>
      <c r="G376" s="2">
        <v>78.625256781576041</v>
      </c>
      <c r="H376">
        <v>3.42</v>
      </c>
      <c r="I376">
        <v>9.91</v>
      </c>
      <c r="J376" s="2">
        <v>1.0042153852390678</v>
      </c>
    </row>
    <row r="377" spans="1:10" x14ac:dyDescent="0.25">
      <c r="A377" s="1">
        <v>45961</v>
      </c>
      <c r="B377">
        <f t="shared" si="12"/>
        <v>304</v>
      </c>
      <c r="C377">
        <v>10.64</v>
      </c>
      <c r="D377">
        <v>17.440000000000001</v>
      </c>
      <c r="E377">
        <v>4.3899999999999997</v>
      </c>
      <c r="F377" s="2">
        <v>91.692017911568485</v>
      </c>
      <c r="G377" s="2">
        <v>56.387409021203808</v>
      </c>
      <c r="H377">
        <v>1.97</v>
      </c>
      <c r="I377">
        <v>0</v>
      </c>
      <c r="J377" s="2">
        <v>0.86548972779858413</v>
      </c>
    </row>
    <row r="378" spans="1:10" x14ac:dyDescent="0.25">
      <c r="A378" s="1">
        <v>45962</v>
      </c>
      <c r="B378">
        <f t="shared" si="12"/>
        <v>305</v>
      </c>
      <c r="C378">
        <v>10.6</v>
      </c>
      <c r="D378">
        <v>15.87</v>
      </c>
      <c r="E378">
        <v>1.62</v>
      </c>
      <c r="F378" s="2">
        <v>97.024528748809558</v>
      </c>
      <c r="G378" s="2">
        <v>60.717599585261326</v>
      </c>
      <c r="H378">
        <v>0.99</v>
      </c>
      <c r="I378">
        <v>0</v>
      </c>
      <c r="J378" s="2">
        <v>0.42842204837209796</v>
      </c>
    </row>
    <row r="379" spans="1:10" x14ac:dyDescent="0.25">
      <c r="A379" s="1">
        <v>45963</v>
      </c>
      <c r="B379">
        <f t="shared" si="12"/>
        <v>306</v>
      </c>
      <c r="C379">
        <v>8.66</v>
      </c>
      <c r="D379">
        <v>11.29</v>
      </c>
      <c r="E379">
        <v>-0.22</v>
      </c>
      <c r="F379" s="2">
        <v>99.708726985979965</v>
      </c>
      <c r="G379" s="2">
        <v>76.892848572640034</v>
      </c>
      <c r="H379">
        <v>0.71</v>
      </c>
      <c r="I379">
        <v>0.25</v>
      </c>
      <c r="J379" s="2">
        <v>0.25386924636390101</v>
      </c>
    </row>
    <row r="380" spans="1:10" x14ac:dyDescent="0.25">
      <c r="A380" s="1">
        <v>45964</v>
      </c>
      <c r="B380">
        <f t="shared" si="12"/>
        <v>307</v>
      </c>
      <c r="C380">
        <v>5.27</v>
      </c>
      <c r="D380">
        <v>13.67</v>
      </c>
      <c r="E380">
        <v>3.43</v>
      </c>
      <c r="F380" s="2">
        <v>99.29502334503367</v>
      </c>
      <c r="G380" s="2">
        <v>77.27819000664779</v>
      </c>
      <c r="H380">
        <v>0.96</v>
      </c>
      <c r="I380">
        <v>0</v>
      </c>
      <c r="J380" s="2">
        <v>0.41946499743055476</v>
      </c>
    </row>
    <row r="381" spans="1:10" x14ac:dyDescent="0.25">
      <c r="A381" s="1">
        <v>45965</v>
      </c>
      <c r="B381">
        <f t="shared" si="12"/>
        <v>308</v>
      </c>
      <c r="C381">
        <v>9.35</v>
      </c>
      <c r="D381">
        <v>12.31</v>
      </c>
      <c r="E381">
        <v>4.01</v>
      </c>
      <c r="F381" s="2">
        <v>97.356958668043092</v>
      </c>
      <c r="G381" s="2">
        <v>82.894019942253834</v>
      </c>
      <c r="H381">
        <v>1.03</v>
      </c>
      <c r="I381">
        <v>0</v>
      </c>
      <c r="J381" s="2">
        <v>0.22649610341723453</v>
      </c>
    </row>
    <row r="382" spans="1:10" x14ac:dyDescent="0.25">
      <c r="A382" s="1">
        <v>45966</v>
      </c>
      <c r="B382">
        <f t="shared" si="12"/>
        <v>309</v>
      </c>
      <c r="C382">
        <v>8.02</v>
      </c>
      <c r="D382">
        <v>13.92</v>
      </c>
      <c r="E382">
        <v>4.24</v>
      </c>
      <c r="F382" s="2">
        <v>99.160193976765342</v>
      </c>
      <c r="G382" s="2">
        <v>73.964893811286075</v>
      </c>
      <c r="H382">
        <v>0.74</v>
      </c>
      <c r="I382">
        <v>0</v>
      </c>
      <c r="J382" s="2">
        <v>0.2605648755998563</v>
      </c>
    </row>
    <row r="383" spans="1:10" x14ac:dyDescent="0.25">
      <c r="A383" s="1">
        <v>45967</v>
      </c>
      <c r="B383">
        <f t="shared" si="12"/>
        <v>310</v>
      </c>
      <c r="C383">
        <v>4.59</v>
      </c>
      <c r="D383">
        <v>12.93</v>
      </c>
      <c r="E383">
        <v>6.12</v>
      </c>
      <c r="F383" s="2">
        <v>98.488563082851428</v>
      </c>
      <c r="G383" s="2">
        <v>83.138260697954379</v>
      </c>
      <c r="H383">
        <v>0.87</v>
      </c>
      <c r="I383">
        <v>2.0299999999999998</v>
      </c>
      <c r="J383" s="2">
        <v>0.3560028708704831</v>
      </c>
    </row>
    <row r="384" spans="1:10" x14ac:dyDescent="0.25">
      <c r="A384" s="1">
        <v>45968</v>
      </c>
      <c r="B384">
        <f t="shared" si="12"/>
        <v>311</v>
      </c>
      <c r="C384">
        <v>1.72</v>
      </c>
      <c r="D384">
        <v>11.55</v>
      </c>
      <c r="E384">
        <v>9.1300000000000008</v>
      </c>
      <c r="F384" s="2">
        <v>99.797727217109696</v>
      </c>
      <c r="G384" s="2">
        <v>98.031883774513574</v>
      </c>
      <c r="H384">
        <v>1.22</v>
      </c>
      <c r="I384">
        <v>17.02</v>
      </c>
      <c r="J384" s="2">
        <v>0.36211995056910223</v>
      </c>
    </row>
    <row r="385" spans="1:10" x14ac:dyDescent="0.25">
      <c r="A385" s="1">
        <v>45969</v>
      </c>
      <c r="B385">
        <f t="shared" si="12"/>
        <v>312</v>
      </c>
      <c r="C385">
        <v>8.81</v>
      </c>
      <c r="D385">
        <v>13.21</v>
      </c>
      <c r="E385">
        <v>7.85</v>
      </c>
      <c r="F385" s="2">
        <v>71.819381628369328</v>
      </c>
      <c r="G385" s="2">
        <v>77.360638917139809</v>
      </c>
      <c r="H385">
        <v>1.5</v>
      </c>
      <c r="I385">
        <v>0.25</v>
      </c>
      <c r="J385" s="2">
        <v>0.36761288352405963</v>
      </c>
    </row>
    <row r="386" spans="1:10" x14ac:dyDescent="0.25">
      <c r="A386" s="1">
        <v>45970</v>
      </c>
      <c r="B386">
        <f t="shared" si="12"/>
        <v>313</v>
      </c>
      <c r="C386">
        <v>9.18</v>
      </c>
      <c r="D386">
        <v>12.57</v>
      </c>
      <c r="E386">
        <v>1.6</v>
      </c>
      <c r="F386" s="2">
        <v>99.35559212195372</v>
      </c>
      <c r="G386" s="2">
        <v>65.744942693161875</v>
      </c>
      <c r="H386">
        <v>1.07</v>
      </c>
      <c r="I386">
        <v>0</v>
      </c>
      <c r="J386" s="2">
        <v>0.16358251966898815</v>
      </c>
    </row>
    <row r="387" spans="1:10" x14ac:dyDescent="0.25">
      <c r="A387" s="1">
        <v>45971</v>
      </c>
      <c r="B387">
        <f t="shared" si="12"/>
        <v>314</v>
      </c>
      <c r="C387">
        <v>9.02</v>
      </c>
      <c r="D387">
        <v>12.45</v>
      </c>
      <c r="E387">
        <v>0.35</v>
      </c>
      <c r="F387" s="2">
        <v>100</v>
      </c>
      <c r="G387" s="2">
        <v>64.905090419122303</v>
      </c>
      <c r="H387">
        <v>1.02</v>
      </c>
      <c r="I387">
        <v>0</v>
      </c>
      <c r="J387" s="2">
        <v>0.13526865558173584</v>
      </c>
    </row>
    <row r="388" spans="1:10" x14ac:dyDescent="0.25">
      <c r="A388" s="1">
        <v>45972</v>
      </c>
      <c r="B388">
        <f t="shared" si="12"/>
        <v>315</v>
      </c>
      <c r="C388">
        <v>9</v>
      </c>
      <c r="D388">
        <v>10.29</v>
      </c>
      <c r="E388">
        <v>-1.87</v>
      </c>
      <c r="F388" s="2">
        <v>93.051566007510743</v>
      </c>
      <c r="G388" s="2">
        <v>57.952325525633597</v>
      </c>
      <c r="H388">
        <v>0.91</v>
      </c>
      <c r="I388">
        <v>0</v>
      </c>
      <c r="J388" s="2">
        <v>9.1949170503373395E-2</v>
      </c>
    </row>
    <row r="389" spans="1:10" x14ac:dyDescent="0.25">
      <c r="A389" s="1">
        <v>45973</v>
      </c>
      <c r="B389">
        <f t="shared" si="12"/>
        <v>316</v>
      </c>
      <c r="C389">
        <v>5.85</v>
      </c>
      <c r="D389">
        <v>3.09</v>
      </c>
      <c r="E389">
        <v>-3.83</v>
      </c>
      <c r="F389" s="2">
        <v>99.924840608799542</v>
      </c>
      <c r="G389" s="2">
        <v>94.466591475742575</v>
      </c>
      <c r="H389">
        <v>1.1299999999999999</v>
      </c>
      <c r="I389">
        <v>0</v>
      </c>
      <c r="J389" s="2">
        <v>5.7793791708492442E-2</v>
      </c>
    </row>
    <row r="390" spans="1:10" x14ac:dyDescent="0.25">
      <c r="A390" s="1">
        <v>45974</v>
      </c>
      <c r="B390">
        <f t="shared" si="12"/>
        <v>317</v>
      </c>
      <c r="C390">
        <v>4.6900000000000004</v>
      </c>
      <c r="D390">
        <v>5.13</v>
      </c>
      <c r="E390">
        <v>-4.0599999999999996</v>
      </c>
      <c r="F390" s="2">
        <v>98.652128876397043</v>
      </c>
      <c r="G390" s="2">
        <v>76.895918345583823</v>
      </c>
      <c r="H390">
        <v>0.67</v>
      </c>
      <c r="I390">
        <v>0</v>
      </c>
      <c r="J390" s="2">
        <v>0.15685949412391911</v>
      </c>
    </row>
    <row r="391" spans="1:10" x14ac:dyDescent="0.25">
      <c r="A391" s="1">
        <v>45975</v>
      </c>
      <c r="B391">
        <f t="shared" si="12"/>
        <v>318</v>
      </c>
      <c r="C391">
        <v>4.0999999999999996</v>
      </c>
      <c r="D391">
        <v>3.47</v>
      </c>
      <c r="E391">
        <v>-3.57</v>
      </c>
      <c r="F391" s="2">
        <v>99.47609908519695</v>
      </c>
      <c r="G391" s="2">
        <v>84.860160083133749</v>
      </c>
      <c r="H391">
        <v>0.84</v>
      </c>
      <c r="I391">
        <v>0.25</v>
      </c>
      <c r="J391" s="2">
        <v>0.15416350063565909</v>
      </c>
    </row>
    <row r="392" spans="1:10" x14ac:dyDescent="0.25">
      <c r="A392" s="1">
        <v>45976</v>
      </c>
      <c r="B392">
        <f t="shared" si="12"/>
        <v>319</v>
      </c>
      <c r="C392">
        <v>1.56</v>
      </c>
      <c r="D392">
        <v>0.65</v>
      </c>
      <c r="E392">
        <v>-1.1299999999999999</v>
      </c>
      <c r="F392" s="2">
        <v>96.456535555872392</v>
      </c>
      <c r="G392" s="2">
        <v>94.218196926162761</v>
      </c>
      <c r="H392">
        <v>1.32</v>
      </c>
      <c r="I392">
        <v>0</v>
      </c>
      <c r="J392" s="2">
        <v>0.25867501530202441</v>
      </c>
    </row>
    <row r="393" spans="1:10" x14ac:dyDescent="0.25">
      <c r="A393" s="1">
        <v>45977</v>
      </c>
      <c r="B393">
        <f t="shared" si="12"/>
        <v>320</v>
      </c>
      <c r="C393">
        <v>2.98</v>
      </c>
      <c r="D393">
        <v>2.15</v>
      </c>
      <c r="E393">
        <v>-1.85</v>
      </c>
      <c r="F393" s="2">
        <v>100</v>
      </c>
      <c r="G393" s="2">
        <v>91.014744224358168</v>
      </c>
      <c r="H393">
        <v>0.65</v>
      </c>
      <c r="I393">
        <v>0</v>
      </c>
      <c r="J393" s="2">
        <v>0.16967940068385753</v>
      </c>
    </row>
    <row r="394" spans="1:10" x14ac:dyDescent="0.25">
      <c r="A394" s="1">
        <v>45978</v>
      </c>
      <c r="B394">
        <f t="shared" si="12"/>
        <v>321</v>
      </c>
      <c r="C394">
        <v>4.59</v>
      </c>
      <c r="D394">
        <v>9.09</v>
      </c>
      <c r="E394">
        <v>-2.14</v>
      </c>
      <c r="F394" s="2">
        <v>99.925916631425409</v>
      </c>
      <c r="G394" s="2">
        <v>79.898921100369321</v>
      </c>
      <c r="H394">
        <v>1.05</v>
      </c>
      <c r="I394">
        <v>0.25</v>
      </c>
      <c r="J394" s="2">
        <v>0.16967402846416599</v>
      </c>
    </row>
    <row r="395" spans="1:10" x14ac:dyDescent="0.25">
      <c r="A395" s="1">
        <v>45979</v>
      </c>
      <c r="B395">
        <f t="shared" ref="B395:B438" si="13">A395-DATE(YEAR(A395),1,1)+1</f>
        <v>322</v>
      </c>
      <c r="C395">
        <v>7</v>
      </c>
      <c r="D395">
        <v>9.27</v>
      </c>
      <c r="E395">
        <v>-0.57999999999999996</v>
      </c>
      <c r="F395" s="2">
        <v>98.258344497710965</v>
      </c>
      <c r="G395" s="2">
        <v>80.313466755714899</v>
      </c>
      <c r="H395">
        <v>1.1000000000000001</v>
      </c>
      <c r="I395">
        <v>0.51</v>
      </c>
      <c r="J395" s="2">
        <v>0</v>
      </c>
    </row>
    <row r="396" spans="1:10" x14ac:dyDescent="0.25">
      <c r="A396" s="1">
        <v>45980</v>
      </c>
      <c r="B396">
        <f t="shared" si="13"/>
        <v>323</v>
      </c>
      <c r="C396">
        <v>1.84</v>
      </c>
      <c r="D396">
        <v>8.43</v>
      </c>
      <c r="E396">
        <v>2.36</v>
      </c>
      <c r="F396" s="2">
        <v>100</v>
      </c>
      <c r="G396" s="2">
        <v>79.302537803913694</v>
      </c>
      <c r="H396">
        <v>1.4</v>
      </c>
      <c r="I396">
        <v>4.57</v>
      </c>
      <c r="J396" s="2">
        <v>0.38852087956735382</v>
      </c>
    </row>
    <row r="397" spans="1:10" x14ac:dyDescent="0.25">
      <c r="A397" s="1">
        <v>45981</v>
      </c>
      <c r="B397">
        <f t="shared" si="13"/>
        <v>324</v>
      </c>
      <c r="C397">
        <v>6.42</v>
      </c>
      <c r="D397">
        <v>14.05</v>
      </c>
      <c r="E397">
        <v>3.55</v>
      </c>
      <c r="F397" s="2">
        <v>88.290470762749649</v>
      </c>
      <c r="G397" s="2">
        <v>66.299288434264653</v>
      </c>
      <c r="H397">
        <v>3.51</v>
      </c>
      <c r="I397">
        <v>0</v>
      </c>
      <c r="J397" s="2">
        <v>0.69390838394617504</v>
      </c>
    </row>
    <row r="398" spans="1:10" x14ac:dyDescent="0.25">
      <c r="A398" s="1">
        <v>45982</v>
      </c>
      <c r="B398">
        <f t="shared" si="13"/>
        <v>325</v>
      </c>
      <c r="C398">
        <v>7.89</v>
      </c>
      <c r="D398">
        <v>12.14</v>
      </c>
      <c r="E398">
        <v>0.68</v>
      </c>
      <c r="F398" s="2">
        <v>94.494573192986266</v>
      </c>
      <c r="G398" s="2">
        <v>61.365225938618828</v>
      </c>
      <c r="H398">
        <v>1.1399999999999999</v>
      </c>
      <c r="I398">
        <v>0</v>
      </c>
      <c r="J398" s="2">
        <v>0</v>
      </c>
    </row>
    <row r="399" spans="1:10" x14ac:dyDescent="0.25">
      <c r="A399" s="1">
        <v>45983</v>
      </c>
      <c r="B399">
        <f t="shared" si="13"/>
        <v>326</v>
      </c>
      <c r="C399">
        <v>4.42</v>
      </c>
      <c r="D399">
        <v>6.37</v>
      </c>
      <c r="E399">
        <v>-1.54</v>
      </c>
      <c r="F399" s="2">
        <v>99.558479266816491</v>
      </c>
      <c r="G399" s="2">
        <v>84.833099695828707</v>
      </c>
      <c r="H399">
        <v>0.85</v>
      </c>
      <c r="I399">
        <v>1.27</v>
      </c>
      <c r="J399" s="2">
        <v>5.2082009621224126E-2</v>
      </c>
    </row>
    <row r="400" spans="1:10" x14ac:dyDescent="0.25">
      <c r="A400" s="1">
        <v>45984</v>
      </c>
      <c r="B400">
        <f t="shared" si="13"/>
        <v>327</v>
      </c>
      <c r="C400">
        <v>4.37</v>
      </c>
      <c r="D400">
        <v>10.94</v>
      </c>
      <c r="E400">
        <v>2.5099999999999998</v>
      </c>
      <c r="F400" s="2">
        <v>100</v>
      </c>
      <c r="G400" s="2">
        <v>82.327917797938042</v>
      </c>
      <c r="H400">
        <v>1.01</v>
      </c>
      <c r="I400">
        <v>2.79</v>
      </c>
      <c r="J400" s="2">
        <v>9.7834044872186457E-2</v>
      </c>
    </row>
    <row r="401" spans="1:10" x14ac:dyDescent="0.25">
      <c r="A401" s="1">
        <v>45985</v>
      </c>
      <c r="B401">
        <f t="shared" si="13"/>
        <v>328</v>
      </c>
      <c r="C401">
        <v>3.24</v>
      </c>
      <c r="D401">
        <v>11.56</v>
      </c>
      <c r="E401">
        <v>3.57</v>
      </c>
      <c r="F401" s="2">
        <v>90.015595855825438</v>
      </c>
      <c r="G401" s="2">
        <v>74.70656940569549</v>
      </c>
      <c r="H401">
        <v>1.53</v>
      </c>
      <c r="I401">
        <v>0</v>
      </c>
      <c r="J401" s="2">
        <v>0.37433953780854512</v>
      </c>
    </row>
    <row r="402" spans="1:10" x14ac:dyDescent="0.25">
      <c r="A402" s="1">
        <v>45986</v>
      </c>
      <c r="B402">
        <f t="shared" si="13"/>
        <v>329</v>
      </c>
      <c r="C402">
        <v>7.86</v>
      </c>
      <c r="D402">
        <v>12.51</v>
      </c>
      <c r="E402">
        <v>-0.16</v>
      </c>
      <c r="F402" s="2">
        <v>97.763301592122957</v>
      </c>
      <c r="G402" s="2">
        <v>67.384039566105145</v>
      </c>
      <c r="H402">
        <v>0.92</v>
      </c>
      <c r="I402">
        <v>0.76</v>
      </c>
      <c r="J402" s="2">
        <v>0</v>
      </c>
    </row>
    <row r="403" spans="1:10" x14ac:dyDescent="0.25">
      <c r="A403" s="1">
        <v>45987</v>
      </c>
      <c r="B403">
        <f t="shared" si="13"/>
        <v>330</v>
      </c>
      <c r="C403">
        <v>3.8</v>
      </c>
      <c r="D403">
        <v>6.33</v>
      </c>
      <c r="E403">
        <v>-1.44</v>
      </c>
      <c r="F403" s="2">
        <v>100</v>
      </c>
      <c r="G403" s="2">
        <v>85.427560498613914</v>
      </c>
      <c r="H403">
        <v>1.17</v>
      </c>
      <c r="I403">
        <v>0.25</v>
      </c>
      <c r="J403" s="2">
        <v>8.1080739084368525E-2</v>
      </c>
    </row>
    <row r="404" spans="1:10" x14ac:dyDescent="0.25">
      <c r="A404" s="1">
        <v>45988</v>
      </c>
      <c r="B404">
        <f t="shared" si="13"/>
        <v>331</v>
      </c>
      <c r="C404">
        <v>3.28</v>
      </c>
      <c r="D404">
        <v>9.69</v>
      </c>
      <c r="E404">
        <v>-0.76</v>
      </c>
      <c r="F404" s="2">
        <v>98.400036689307342</v>
      </c>
      <c r="G404" s="2">
        <v>72.327985103838415</v>
      </c>
      <c r="H404">
        <v>0.99</v>
      </c>
      <c r="I404">
        <v>0</v>
      </c>
      <c r="J404" s="2">
        <v>0.21143201513662904</v>
      </c>
    </row>
    <row r="405" spans="1:10" x14ac:dyDescent="0.25">
      <c r="A405" s="1">
        <v>45989</v>
      </c>
      <c r="B405">
        <f t="shared" si="13"/>
        <v>332</v>
      </c>
      <c r="C405">
        <v>5.23</v>
      </c>
      <c r="D405">
        <v>12.49</v>
      </c>
      <c r="E405">
        <v>3.86</v>
      </c>
      <c r="F405" s="2">
        <v>89.079480665234428</v>
      </c>
      <c r="G405" s="2">
        <v>64.91419373890453</v>
      </c>
      <c r="H405">
        <v>1.94</v>
      </c>
      <c r="I405">
        <v>0</v>
      </c>
      <c r="J405" s="2">
        <v>0.30231136398060787</v>
      </c>
    </row>
    <row r="406" spans="1:10" x14ac:dyDescent="0.25">
      <c r="A406" s="1">
        <v>45990</v>
      </c>
      <c r="B406">
        <f t="shared" si="13"/>
        <v>333</v>
      </c>
      <c r="C406">
        <v>4.28</v>
      </c>
      <c r="D406">
        <v>9.49</v>
      </c>
      <c r="E406">
        <v>2.6</v>
      </c>
      <c r="F406" s="2">
        <v>98.444212576354545</v>
      </c>
      <c r="G406" s="2">
        <v>81.181315654209712</v>
      </c>
      <c r="H406">
        <v>0.8</v>
      </c>
      <c r="I406">
        <v>0</v>
      </c>
      <c r="J406" s="2">
        <v>0</v>
      </c>
    </row>
    <row r="407" spans="1:10" x14ac:dyDescent="0.25">
      <c r="A407" s="1">
        <v>45991</v>
      </c>
      <c r="B407">
        <f t="shared" si="13"/>
        <v>334</v>
      </c>
      <c r="C407">
        <v>6.93</v>
      </c>
      <c r="D407">
        <v>11.11</v>
      </c>
      <c r="E407">
        <v>-1.1599999999999999</v>
      </c>
      <c r="F407" s="2">
        <v>94.900805475570237</v>
      </c>
      <c r="G407" s="2">
        <v>64.643516651898167</v>
      </c>
      <c r="H407">
        <v>1.07</v>
      </c>
      <c r="I407">
        <v>0</v>
      </c>
      <c r="J407" s="2">
        <v>0</v>
      </c>
    </row>
    <row r="408" spans="1:10" x14ac:dyDescent="0.25">
      <c r="A408" s="1">
        <v>45992</v>
      </c>
      <c r="B408">
        <f t="shared" si="13"/>
        <v>335</v>
      </c>
      <c r="C408">
        <v>6.83</v>
      </c>
      <c r="D408">
        <v>7.44</v>
      </c>
      <c r="E408">
        <v>-2.12</v>
      </c>
      <c r="F408" s="2">
        <v>96.498919902950504</v>
      </c>
      <c r="G408" s="2">
        <v>77.115942725845315</v>
      </c>
      <c r="H408">
        <v>0.99</v>
      </c>
      <c r="I408">
        <v>0</v>
      </c>
      <c r="J408" s="2">
        <v>0</v>
      </c>
    </row>
    <row r="409" spans="1:10" x14ac:dyDescent="0.25">
      <c r="A409" s="1">
        <v>45993</v>
      </c>
      <c r="B409">
        <f t="shared" si="13"/>
        <v>336</v>
      </c>
      <c r="C409">
        <v>2.5099999999999998</v>
      </c>
      <c r="D409">
        <v>2.77</v>
      </c>
      <c r="E409">
        <v>-2.75</v>
      </c>
      <c r="F409" s="2">
        <v>100</v>
      </c>
      <c r="G409" s="2">
        <v>92.708684356053254</v>
      </c>
      <c r="H409">
        <v>0.87</v>
      </c>
      <c r="I409">
        <v>0</v>
      </c>
      <c r="J409" s="2">
        <v>9.4663893155009338E-2</v>
      </c>
    </row>
    <row r="410" spans="1:10" x14ac:dyDescent="0.25">
      <c r="A410" s="1">
        <v>45994</v>
      </c>
      <c r="B410">
        <f t="shared" si="13"/>
        <v>337</v>
      </c>
      <c r="C410">
        <v>1.02</v>
      </c>
      <c r="D410">
        <v>-0.08</v>
      </c>
      <c r="E410">
        <v>-3.33</v>
      </c>
      <c r="F410" s="2">
        <v>99.030960095758431</v>
      </c>
      <c r="G410" s="2">
        <v>100</v>
      </c>
      <c r="H410">
        <v>0.86</v>
      </c>
      <c r="I410">
        <v>0.25</v>
      </c>
      <c r="J410" s="2">
        <v>0.19997726283787948</v>
      </c>
    </row>
    <row r="411" spans="1:10" x14ac:dyDescent="0.25">
      <c r="A411" s="1">
        <v>45995</v>
      </c>
      <c r="B411">
        <f t="shared" si="13"/>
        <v>338</v>
      </c>
      <c r="C411">
        <v>2.68</v>
      </c>
      <c r="D411">
        <v>0.51</v>
      </c>
      <c r="E411">
        <v>-2.39</v>
      </c>
      <c r="F411" s="2">
        <v>100</v>
      </c>
      <c r="G411" s="2">
        <v>99.349689482346108</v>
      </c>
      <c r="H411">
        <v>0.73</v>
      </c>
      <c r="I411">
        <v>0</v>
      </c>
      <c r="J411" s="2">
        <v>3.8358305336508844E-2</v>
      </c>
    </row>
    <row r="412" spans="1:10" x14ac:dyDescent="0.25">
      <c r="A412" s="1">
        <v>45996</v>
      </c>
      <c r="B412">
        <f t="shared" si="13"/>
        <v>339</v>
      </c>
      <c r="C412">
        <v>0.83</v>
      </c>
      <c r="D412">
        <v>-1.31</v>
      </c>
      <c r="E412">
        <v>-2.5299999999999998</v>
      </c>
      <c r="F412" s="2">
        <v>96.775412134684785</v>
      </c>
      <c r="G412" s="2">
        <v>100</v>
      </c>
      <c r="H412">
        <v>0.84</v>
      </c>
      <c r="I412">
        <v>0</v>
      </c>
      <c r="J412" s="2">
        <v>0.22063636012713433</v>
      </c>
    </row>
    <row r="413" spans="1:10" x14ac:dyDescent="0.25">
      <c r="A413" s="1">
        <v>45997</v>
      </c>
      <c r="B413">
        <f t="shared" si="13"/>
        <v>340</v>
      </c>
      <c r="C413">
        <v>0.59</v>
      </c>
      <c r="D413">
        <v>-2</v>
      </c>
      <c r="E413">
        <v>-2.83</v>
      </c>
      <c r="F413" s="2">
        <v>98.15169337223071</v>
      </c>
      <c r="G413" s="2">
        <v>100</v>
      </c>
      <c r="H413">
        <v>0.88</v>
      </c>
      <c r="I413">
        <v>0</v>
      </c>
      <c r="J413" s="2">
        <v>0.23302923256985339</v>
      </c>
    </row>
    <row r="414" spans="1:10" x14ac:dyDescent="0.25">
      <c r="A414" s="1">
        <v>45998</v>
      </c>
      <c r="B414">
        <f t="shared" si="13"/>
        <v>341</v>
      </c>
      <c r="C414">
        <v>1.02</v>
      </c>
      <c r="D414">
        <v>-0.89</v>
      </c>
      <c r="E414">
        <v>-2.2799999999999998</v>
      </c>
      <c r="F414" s="2">
        <v>95.563682179770822</v>
      </c>
      <c r="G414" s="2">
        <v>100</v>
      </c>
      <c r="H414">
        <v>0.45</v>
      </c>
      <c r="I414">
        <v>0</v>
      </c>
      <c r="J414" s="2">
        <v>0.21016889830309488</v>
      </c>
    </row>
    <row r="415" spans="1:10" x14ac:dyDescent="0.25">
      <c r="A415" s="1">
        <v>45999</v>
      </c>
      <c r="B415">
        <f t="shared" si="13"/>
        <v>342</v>
      </c>
      <c r="C415">
        <v>2.15</v>
      </c>
      <c r="D415">
        <v>0.85</v>
      </c>
      <c r="E415">
        <v>-8.15</v>
      </c>
      <c r="F415" s="2">
        <v>97.988996318332184</v>
      </c>
      <c r="G415" s="2">
        <v>98.564025334127479</v>
      </c>
      <c r="H415">
        <v>0.93</v>
      </c>
      <c r="I415">
        <v>0</v>
      </c>
      <c r="J415" s="2">
        <v>7.5361046583726998E-2</v>
      </c>
    </row>
    <row r="416" spans="1:10" x14ac:dyDescent="0.25">
      <c r="A416" s="1">
        <v>46000</v>
      </c>
      <c r="B416">
        <f t="shared" si="13"/>
        <v>343</v>
      </c>
      <c r="C416">
        <v>6.61</v>
      </c>
      <c r="D416">
        <v>4.78</v>
      </c>
      <c r="E416">
        <v>-7.35</v>
      </c>
      <c r="F416" s="2">
        <v>93.52854314564371</v>
      </c>
      <c r="G416" s="2">
        <v>78.572079800640694</v>
      </c>
      <c r="H416">
        <v>0.85</v>
      </c>
      <c r="I416">
        <v>2.54</v>
      </c>
      <c r="J416" s="2">
        <v>0</v>
      </c>
    </row>
    <row r="417" spans="1:10" x14ac:dyDescent="0.25">
      <c r="A417" s="1">
        <v>46001</v>
      </c>
      <c r="B417">
        <f t="shared" si="13"/>
        <v>344</v>
      </c>
      <c r="C417">
        <v>3.17</v>
      </c>
      <c r="D417">
        <v>2.2599999999999998</v>
      </c>
      <c r="E417">
        <v>-2.35</v>
      </c>
      <c r="F417" s="2">
        <v>98.671554466317744</v>
      </c>
      <c r="G417" s="2">
        <v>96.070919341331361</v>
      </c>
      <c r="H417">
        <v>0.78</v>
      </c>
      <c r="I417">
        <v>1.78</v>
      </c>
      <c r="J417" s="2">
        <v>0</v>
      </c>
    </row>
    <row r="418" spans="1:10" x14ac:dyDescent="0.25">
      <c r="A418" s="1">
        <v>46002</v>
      </c>
      <c r="B418">
        <f t="shared" si="13"/>
        <v>345</v>
      </c>
      <c r="C418">
        <v>1.57</v>
      </c>
      <c r="D418">
        <v>2</v>
      </c>
      <c r="E418">
        <v>-0.27</v>
      </c>
      <c r="F418" s="2">
        <v>100</v>
      </c>
      <c r="G418" s="2">
        <v>93.334557136459921</v>
      </c>
      <c r="H418">
        <v>0.39</v>
      </c>
      <c r="I418">
        <v>1.27</v>
      </c>
      <c r="J418" s="2">
        <v>0.16050169706540529</v>
      </c>
    </row>
    <row r="419" spans="1:10" x14ac:dyDescent="0.25">
      <c r="A419" s="1">
        <v>46003</v>
      </c>
      <c r="B419">
        <f t="shared" si="13"/>
        <v>346</v>
      </c>
      <c r="C419">
        <v>1.25</v>
      </c>
      <c r="D419">
        <v>1.4</v>
      </c>
      <c r="E419">
        <v>0.05</v>
      </c>
      <c r="F419" s="2">
        <v>95.928671392977122</v>
      </c>
      <c r="G419" s="2">
        <v>91.957702337510923</v>
      </c>
      <c r="H419">
        <v>0.62</v>
      </c>
      <c r="I419">
        <v>0.51</v>
      </c>
      <c r="J419" s="2">
        <v>0.21323928777941589</v>
      </c>
    </row>
    <row r="420" spans="1:10" x14ac:dyDescent="0.25">
      <c r="A420" s="1">
        <v>46004</v>
      </c>
      <c r="B420">
        <f t="shared" si="13"/>
        <v>347</v>
      </c>
      <c r="C420">
        <v>1.1000000000000001</v>
      </c>
      <c r="D420">
        <v>0.41</v>
      </c>
      <c r="E420">
        <v>-2.84</v>
      </c>
      <c r="F420" s="2">
        <v>98.224890445533219</v>
      </c>
      <c r="G420" s="2">
        <v>96.431279825117329</v>
      </c>
      <c r="H420">
        <v>0.67</v>
      </c>
      <c r="I420">
        <v>0.25</v>
      </c>
      <c r="J420" s="2">
        <v>0.19633683804735413</v>
      </c>
    </row>
    <row r="421" spans="1:10" x14ac:dyDescent="0.25">
      <c r="A421" s="1">
        <v>46005</v>
      </c>
      <c r="B421">
        <f t="shared" si="13"/>
        <v>348</v>
      </c>
      <c r="C421">
        <v>5.74</v>
      </c>
      <c r="D421">
        <v>2.2999999999999998</v>
      </c>
      <c r="E421">
        <v>-3.39</v>
      </c>
      <c r="F421" s="2">
        <v>100</v>
      </c>
      <c r="G421" s="2">
        <v>86.779706780960623</v>
      </c>
      <c r="H421">
        <v>1.07</v>
      </c>
      <c r="I421">
        <v>0.25</v>
      </c>
      <c r="J421" s="2">
        <v>0</v>
      </c>
    </row>
    <row r="422" spans="1:10" x14ac:dyDescent="0.25">
      <c r="A422" s="1">
        <v>46006</v>
      </c>
      <c r="B422">
        <f t="shared" si="13"/>
        <v>349</v>
      </c>
      <c r="C422">
        <v>3.53</v>
      </c>
      <c r="D422">
        <v>5.75</v>
      </c>
      <c r="E422">
        <v>-4.84</v>
      </c>
      <c r="F422" s="2">
        <v>99.470373349183475</v>
      </c>
      <c r="G422" s="2">
        <v>88.302889971540253</v>
      </c>
      <c r="H422">
        <v>0.81</v>
      </c>
      <c r="I422">
        <v>1.27</v>
      </c>
      <c r="J422" s="2">
        <v>0</v>
      </c>
    </row>
    <row r="423" spans="1:10" x14ac:dyDescent="0.25">
      <c r="A423" s="1">
        <v>46007</v>
      </c>
      <c r="B423">
        <f t="shared" si="13"/>
        <v>350</v>
      </c>
      <c r="C423">
        <v>1.61</v>
      </c>
      <c r="D423">
        <v>13.25</v>
      </c>
      <c r="E423">
        <v>4.6100000000000003</v>
      </c>
      <c r="F423" s="2">
        <v>93.341228285653983</v>
      </c>
      <c r="G423" s="2">
        <v>76.382590558216407</v>
      </c>
      <c r="H423">
        <v>2.5499999999999998</v>
      </c>
      <c r="I423">
        <v>1.02</v>
      </c>
      <c r="J423" s="2">
        <v>0.58961702309594499</v>
      </c>
    </row>
    <row r="424" spans="1:10" x14ac:dyDescent="0.25">
      <c r="A424" s="1">
        <v>46008</v>
      </c>
      <c r="B424">
        <f t="shared" si="13"/>
        <v>351</v>
      </c>
      <c r="C424">
        <v>5.62</v>
      </c>
      <c r="D424">
        <v>10.76</v>
      </c>
      <c r="E424">
        <v>-0.61</v>
      </c>
      <c r="F424" s="2">
        <v>87.184667571544026</v>
      </c>
      <c r="G424" s="2">
        <v>63.038551374244875</v>
      </c>
      <c r="H424">
        <v>3.95</v>
      </c>
      <c r="I424">
        <v>0</v>
      </c>
      <c r="J424" s="2">
        <v>0.5205083173722056</v>
      </c>
    </row>
    <row r="425" spans="1:10" x14ac:dyDescent="0.25">
      <c r="A425" s="1">
        <v>46009</v>
      </c>
      <c r="B425">
        <f t="shared" si="13"/>
        <v>352</v>
      </c>
      <c r="C425">
        <v>5.77</v>
      </c>
      <c r="D425">
        <v>8.8800000000000008</v>
      </c>
      <c r="E425">
        <v>-3.16</v>
      </c>
      <c r="F425" s="2">
        <v>90.279438680972078</v>
      </c>
      <c r="G425" s="2">
        <v>60.908075844278429</v>
      </c>
      <c r="H425">
        <v>1.1100000000000001</v>
      </c>
      <c r="I425">
        <v>0</v>
      </c>
      <c r="J425" s="2">
        <v>0</v>
      </c>
    </row>
    <row r="426" spans="1:10" x14ac:dyDescent="0.25">
      <c r="A426" s="1">
        <v>46010</v>
      </c>
      <c r="B426">
        <f t="shared" si="13"/>
        <v>353</v>
      </c>
      <c r="C426">
        <v>3.83</v>
      </c>
      <c r="D426">
        <v>5.09</v>
      </c>
      <c r="E426">
        <v>-1.39</v>
      </c>
      <c r="F426" s="2">
        <v>91.569443710795525</v>
      </c>
      <c r="G426" s="2">
        <v>77.221707239262557</v>
      </c>
      <c r="H426">
        <v>0.79</v>
      </c>
      <c r="I426">
        <v>0</v>
      </c>
      <c r="J426" s="2">
        <v>0</v>
      </c>
    </row>
    <row r="427" spans="1:10" x14ac:dyDescent="0.25">
      <c r="A427" s="1">
        <v>46011</v>
      </c>
      <c r="B427">
        <f t="shared" si="13"/>
        <v>354</v>
      </c>
      <c r="C427">
        <v>2.06</v>
      </c>
      <c r="D427">
        <v>3.17</v>
      </c>
      <c r="E427">
        <v>-3.42</v>
      </c>
      <c r="F427" s="2">
        <v>97.774616736845047</v>
      </c>
      <c r="G427" s="2">
        <v>89.212140019790013</v>
      </c>
      <c r="H427">
        <v>0.89</v>
      </c>
      <c r="I427">
        <v>0</v>
      </c>
      <c r="J427" s="2">
        <v>0.11616767400292211</v>
      </c>
    </row>
    <row r="428" spans="1:10" x14ac:dyDescent="0.25">
      <c r="A428" s="1">
        <v>46012</v>
      </c>
      <c r="B428">
        <f t="shared" si="13"/>
        <v>355</v>
      </c>
      <c r="C428">
        <v>5.83</v>
      </c>
      <c r="D428">
        <v>6.76</v>
      </c>
      <c r="E428">
        <v>-7.03</v>
      </c>
      <c r="F428" s="2">
        <v>99.61421920162087</v>
      </c>
      <c r="G428" s="2">
        <v>68.145043664919896</v>
      </c>
      <c r="H428">
        <v>1.23</v>
      </c>
      <c r="I428">
        <v>0</v>
      </c>
      <c r="J428" s="2">
        <v>0</v>
      </c>
    </row>
    <row r="429" spans="1:10" x14ac:dyDescent="0.25">
      <c r="A429" s="1">
        <v>46013</v>
      </c>
      <c r="B429">
        <f t="shared" si="13"/>
        <v>356</v>
      </c>
      <c r="C429">
        <v>4.43</v>
      </c>
      <c r="D429">
        <v>2.19</v>
      </c>
      <c r="E429">
        <v>-6.76</v>
      </c>
      <c r="F429" s="2">
        <v>94.583093457099338</v>
      </c>
      <c r="G429" s="2">
        <v>79.256765178432971</v>
      </c>
      <c r="H429">
        <v>0.97</v>
      </c>
      <c r="I429">
        <v>0</v>
      </c>
      <c r="J429" s="2">
        <v>0</v>
      </c>
    </row>
    <row r="430" spans="1:10" x14ac:dyDescent="0.25">
      <c r="A430" s="1">
        <v>46014</v>
      </c>
      <c r="B430">
        <f t="shared" si="13"/>
        <v>357</v>
      </c>
      <c r="C430">
        <v>2.8</v>
      </c>
      <c r="D430">
        <v>2.35</v>
      </c>
      <c r="E430">
        <v>-4.03</v>
      </c>
      <c r="F430" s="2">
        <v>97.689292916660207</v>
      </c>
      <c r="G430" s="2">
        <v>83.504261720938317</v>
      </c>
      <c r="H430">
        <v>0.93</v>
      </c>
      <c r="I430">
        <v>0</v>
      </c>
      <c r="J430" s="2">
        <v>4.9373076557408573E-2</v>
      </c>
    </row>
    <row r="431" spans="1:10" x14ac:dyDescent="0.25">
      <c r="A431" s="1">
        <v>46015</v>
      </c>
      <c r="B431">
        <f t="shared" si="13"/>
        <v>358</v>
      </c>
      <c r="C431">
        <v>2.2400000000000002</v>
      </c>
      <c r="D431">
        <v>1.46</v>
      </c>
      <c r="E431">
        <v>-4.8499999999999996</v>
      </c>
      <c r="F431" s="2">
        <v>98.568103364837</v>
      </c>
      <c r="G431" s="2">
        <v>89.716421240420971</v>
      </c>
      <c r="H431">
        <v>0.49</v>
      </c>
      <c r="I431">
        <v>0.25</v>
      </c>
      <c r="J431" s="2">
        <v>6.8394714907256737E-2</v>
      </c>
    </row>
    <row r="432" spans="1:10" x14ac:dyDescent="0.25">
      <c r="A432" s="1">
        <v>46016</v>
      </c>
      <c r="B432">
        <f t="shared" si="13"/>
        <v>359</v>
      </c>
      <c r="C432">
        <v>0.74</v>
      </c>
      <c r="D432">
        <v>-0.15</v>
      </c>
      <c r="E432">
        <v>-1.48</v>
      </c>
      <c r="F432" s="2">
        <v>93.073761083693157</v>
      </c>
      <c r="G432" s="2">
        <v>93.628806378885898</v>
      </c>
      <c r="H432">
        <v>0.66</v>
      </c>
      <c r="I432">
        <v>0</v>
      </c>
      <c r="J432" s="2">
        <v>0.2619093455318604</v>
      </c>
    </row>
    <row r="433" spans="1:10" x14ac:dyDescent="0.25">
      <c r="A433" s="1">
        <v>46017</v>
      </c>
      <c r="B433">
        <f t="shared" si="13"/>
        <v>360</v>
      </c>
      <c r="C433">
        <v>0.99</v>
      </c>
      <c r="D433">
        <v>-0.18</v>
      </c>
      <c r="E433">
        <v>-3.88</v>
      </c>
      <c r="F433" s="2">
        <v>99.026409140484731</v>
      </c>
      <c r="G433" s="2">
        <v>90.377601989504214</v>
      </c>
      <c r="H433">
        <v>1.1100000000000001</v>
      </c>
      <c r="I433">
        <v>0</v>
      </c>
      <c r="J433" s="2">
        <v>0.22174302099266155</v>
      </c>
    </row>
    <row r="434" spans="1:10" x14ac:dyDescent="0.25">
      <c r="A434" s="1">
        <v>46018</v>
      </c>
      <c r="B434">
        <f t="shared" si="13"/>
        <v>361</v>
      </c>
      <c r="C434">
        <v>2.4300000000000002</v>
      </c>
      <c r="D434">
        <v>5.64</v>
      </c>
      <c r="E434">
        <v>-3.8</v>
      </c>
      <c r="F434" s="2">
        <v>99.250847085480331</v>
      </c>
      <c r="G434" s="2">
        <v>74.911622536785998</v>
      </c>
      <c r="H434">
        <v>1.43</v>
      </c>
      <c r="I434">
        <v>0</v>
      </c>
      <c r="J434" s="2">
        <v>0.21434788680579325</v>
      </c>
    </row>
    <row r="435" spans="1:10" x14ac:dyDescent="0.25">
      <c r="A435" s="1">
        <v>46019</v>
      </c>
      <c r="B435">
        <f t="shared" si="13"/>
        <v>362</v>
      </c>
      <c r="C435">
        <v>2.4</v>
      </c>
      <c r="D435">
        <v>11.19</v>
      </c>
      <c r="E435">
        <v>2.46</v>
      </c>
      <c r="F435" s="2">
        <v>89.409539335379151</v>
      </c>
      <c r="G435" s="2">
        <v>74.743785654347732</v>
      </c>
      <c r="H435">
        <v>0.89</v>
      </c>
      <c r="I435">
        <v>0</v>
      </c>
      <c r="J435" s="2">
        <v>0.23155209094024143</v>
      </c>
    </row>
    <row r="436" spans="1:10" x14ac:dyDescent="0.25">
      <c r="A436" s="1">
        <v>46020</v>
      </c>
      <c r="B436">
        <f t="shared" si="13"/>
        <v>363</v>
      </c>
      <c r="C436">
        <v>2.44</v>
      </c>
      <c r="D436">
        <v>11.33</v>
      </c>
      <c r="E436">
        <v>0.95</v>
      </c>
      <c r="F436" s="2">
        <v>97.501110009693477</v>
      </c>
      <c r="G436" s="2">
        <v>79.950667264702673</v>
      </c>
      <c r="H436">
        <v>0.98</v>
      </c>
      <c r="I436">
        <v>0</v>
      </c>
      <c r="J436" s="2">
        <v>0.1892203129763648</v>
      </c>
    </row>
    <row r="437" spans="1:10" x14ac:dyDescent="0.25">
      <c r="A437" s="1">
        <v>46021</v>
      </c>
      <c r="B437">
        <f t="shared" si="13"/>
        <v>364</v>
      </c>
      <c r="C437">
        <v>6.86</v>
      </c>
      <c r="D437">
        <v>9.76</v>
      </c>
      <c r="E437">
        <v>-2.98</v>
      </c>
      <c r="F437" s="2">
        <v>96.256911391722753</v>
      </c>
      <c r="G437" s="2">
        <v>66.128149778622046</v>
      </c>
      <c r="H437">
        <v>0.81</v>
      </c>
      <c r="I437">
        <v>0</v>
      </c>
      <c r="J437" s="2">
        <v>0</v>
      </c>
    </row>
    <row r="438" spans="1:10" x14ac:dyDescent="0.25">
      <c r="A438" s="1">
        <v>46022</v>
      </c>
      <c r="B438">
        <f t="shared" si="13"/>
        <v>365</v>
      </c>
      <c r="C438">
        <v>1.71</v>
      </c>
      <c r="D438">
        <v>1.31</v>
      </c>
      <c r="E438">
        <v>-3.05</v>
      </c>
      <c r="F438" s="2">
        <v>99.255619689945533</v>
      </c>
      <c r="G438" s="2">
        <v>99.856131207355801</v>
      </c>
      <c r="H438">
        <v>0.92</v>
      </c>
      <c r="I438">
        <v>0.25</v>
      </c>
      <c r="J438" s="2">
        <v>0.11885095557415537</v>
      </c>
    </row>
    <row r="439" spans="1:10" x14ac:dyDescent="0.25">
      <c r="A439" s="1"/>
    </row>
    <row r="440" spans="1:10" x14ac:dyDescent="0.25">
      <c r="A440" s="1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ol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3</xdr:col>
                    <xdr:colOff>1257300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Tool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3</xdr:col>
                    <xdr:colOff>1257300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Tool">
                <anchor moveWithCells="1" sizeWithCells="1">
                  <from>
                    <xdr:col>2</xdr:col>
                    <xdr:colOff>1019175</xdr:colOff>
                    <xdr:row>50</xdr:row>
                    <xdr:rowOff>104775</xdr:rowOff>
                  </from>
                  <to>
                    <xdr:col>3</xdr:col>
                    <xdr:colOff>1000125</xdr:colOff>
                    <xdr:row>53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A014-3D54-4C5B-B166-4A4AED9A9CD4}">
  <sheetPr codeName="Sheet4"/>
  <dimension ref="A1:S31"/>
  <sheetViews>
    <sheetView workbookViewId="0">
      <selection activeCell="F30" sqref="F30"/>
    </sheetView>
  </sheetViews>
  <sheetFormatPr defaultRowHeight="15" x14ac:dyDescent="0.25"/>
  <cols>
    <col min="1" max="1" width="12" bestFit="1" customWidth="1"/>
    <col min="10" max="10" width="13.140625" customWidth="1"/>
    <col min="11" max="11" width="6" customWidth="1"/>
    <col min="12" max="12" width="13.140625" customWidth="1"/>
    <col min="13" max="13" width="6" customWidth="1"/>
    <col min="16" max="18" width="11.7109375" customWidth="1"/>
  </cols>
  <sheetData>
    <row r="1" spans="1:19" ht="18.75" x14ac:dyDescent="0.3">
      <c r="A1" s="45" t="s">
        <v>111</v>
      </c>
      <c r="B1" s="46"/>
      <c r="I1" s="51"/>
      <c r="J1" s="52" t="s">
        <v>115</v>
      </c>
      <c r="K1" s="53"/>
      <c r="L1" s="53"/>
      <c r="M1" s="54"/>
      <c r="P1" s="52" t="s">
        <v>117</v>
      </c>
      <c r="Q1" s="53"/>
      <c r="R1" s="53"/>
      <c r="S1" s="54"/>
    </row>
    <row r="2" spans="1:19" x14ac:dyDescent="0.25">
      <c r="J2" s="55" t="s">
        <v>114</v>
      </c>
      <c r="K2" s="56"/>
      <c r="L2" s="56"/>
      <c r="M2" s="57"/>
      <c r="P2" s="55" t="s">
        <v>116</v>
      </c>
      <c r="Q2" s="56"/>
      <c r="R2" s="56"/>
      <c r="S2" s="57"/>
    </row>
    <row r="3" spans="1:19" x14ac:dyDescent="0.25">
      <c r="A3" s="3" t="s">
        <v>90</v>
      </c>
      <c r="J3" s="47" t="s">
        <v>112</v>
      </c>
      <c r="L3" s="47" t="s">
        <v>63</v>
      </c>
      <c r="P3" s="47" t="s">
        <v>63</v>
      </c>
      <c r="Q3" s="47" t="s">
        <v>112</v>
      </c>
      <c r="R3" s="47" t="s">
        <v>113</v>
      </c>
    </row>
    <row r="4" spans="1:19" x14ac:dyDescent="0.25">
      <c r="A4" s="5" t="s">
        <v>107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P4" s="5"/>
      <c r="Q4" s="5"/>
      <c r="R4" s="5"/>
    </row>
    <row r="5" spans="1:19" x14ac:dyDescent="0.25">
      <c r="A5" t="s">
        <v>94</v>
      </c>
      <c r="J5" s="48">
        <v>1.05</v>
      </c>
      <c r="L5" s="48">
        <v>1.1499999999999999</v>
      </c>
      <c r="P5" s="48">
        <v>1.1499999999999999</v>
      </c>
      <c r="Q5" s="48">
        <v>1.05</v>
      </c>
      <c r="R5" s="48"/>
    </row>
    <row r="6" spans="1:19" x14ac:dyDescent="0.25">
      <c r="A6" t="s">
        <v>95</v>
      </c>
      <c r="J6" s="49">
        <v>12</v>
      </c>
      <c r="L6" s="49">
        <v>12</v>
      </c>
      <c r="P6" s="49">
        <v>12</v>
      </c>
      <c r="Q6" s="49">
        <v>12</v>
      </c>
      <c r="R6" s="49"/>
    </row>
    <row r="7" spans="1:19" x14ac:dyDescent="0.25">
      <c r="A7" t="s">
        <v>96</v>
      </c>
      <c r="J7" s="49">
        <v>-1200</v>
      </c>
      <c r="L7" s="49">
        <v>-1200</v>
      </c>
      <c r="P7" s="49">
        <v>-1200</v>
      </c>
      <c r="Q7" s="49">
        <v>-1200</v>
      </c>
      <c r="R7" s="49"/>
    </row>
    <row r="8" spans="1:19" x14ac:dyDescent="0.25">
      <c r="A8" t="s">
        <v>97</v>
      </c>
      <c r="J8" s="49">
        <v>-1500</v>
      </c>
      <c r="L8" s="49">
        <v>-1500</v>
      </c>
      <c r="P8" s="49">
        <v>-1500</v>
      </c>
      <c r="Q8" s="49">
        <v>-1500</v>
      </c>
      <c r="R8" s="49"/>
    </row>
    <row r="9" spans="1:19" x14ac:dyDescent="0.25">
      <c r="A9" t="s">
        <v>135</v>
      </c>
      <c r="J9" s="49">
        <v>0.05</v>
      </c>
      <c r="L9" s="49">
        <v>0.05</v>
      </c>
      <c r="P9" s="49">
        <v>0.05</v>
      </c>
      <c r="Q9" s="49">
        <v>0.05</v>
      </c>
      <c r="R9" s="49"/>
    </row>
    <row r="10" spans="1:19" x14ac:dyDescent="0.25">
      <c r="A10" t="s">
        <v>136</v>
      </c>
      <c r="J10" s="49">
        <v>0.2</v>
      </c>
      <c r="L10" s="49">
        <v>0.2</v>
      </c>
      <c r="P10" s="49">
        <v>0.2</v>
      </c>
      <c r="Q10" s="49">
        <v>0.2</v>
      </c>
      <c r="R10" s="49"/>
    </row>
    <row r="11" spans="1:19" x14ac:dyDescent="0.25">
      <c r="A11" t="s">
        <v>93</v>
      </c>
      <c r="J11" s="49">
        <v>1.5</v>
      </c>
      <c r="L11" s="49">
        <v>1.7</v>
      </c>
      <c r="P11" s="49">
        <v>1.7</v>
      </c>
      <c r="Q11" s="49">
        <v>1.5</v>
      </c>
      <c r="R11" s="49"/>
    </row>
    <row r="12" spans="1:19" x14ac:dyDescent="0.25">
      <c r="A12" t="s">
        <v>137</v>
      </c>
      <c r="J12" s="50">
        <v>1</v>
      </c>
      <c r="L12" s="50">
        <v>2</v>
      </c>
      <c r="P12" s="50">
        <v>2</v>
      </c>
      <c r="Q12" s="50">
        <v>1</v>
      </c>
      <c r="R12" s="50"/>
    </row>
    <row r="13" spans="1:19" x14ac:dyDescent="0.25">
      <c r="A13" s="5" t="s">
        <v>109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P13" s="5"/>
      <c r="Q13" s="5"/>
      <c r="R13" s="5"/>
    </row>
    <row r="14" spans="1:19" x14ac:dyDescent="0.25">
      <c r="A14" t="s">
        <v>98</v>
      </c>
      <c r="J14" s="48">
        <v>0.02</v>
      </c>
      <c r="L14" s="48">
        <v>0.02</v>
      </c>
      <c r="P14" s="48">
        <v>0.02</v>
      </c>
      <c r="Q14" s="48">
        <v>0.02</v>
      </c>
      <c r="R14" s="48"/>
    </row>
    <row r="15" spans="1:19" x14ac:dyDescent="0.25">
      <c r="A15" t="s">
        <v>99</v>
      </c>
      <c r="J15" s="49">
        <v>0.8</v>
      </c>
      <c r="L15" s="49">
        <v>0.8</v>
      </c>
      <c r="P15" s="49">
        <v>0.8</v>
      </c>
      <c r="Q15" s="49">
        <v>0.8</v>
      </c>
      <c r="R15" s="49"/>
    </row>
    <row r="16" spans="1:19" x14ac:dyDescent="0.25">
      <c r="A16" t="s">
        <v>100</v>
      </c>
      <c r="J16" s="50">
        <v>0</v>
      </c>
      <c r="L16" s="50">
        <v>0</v>
      </c>
      <c r="P16" s="50">
        <v>0</v>
      </c>
      <c r="Q16" s="50">
        <v>0</v>
      </c>
      <c r="R16" s="50"/>
    </row>
    <row r="17" spans="1:18" x14ac:dyDescent="0.25">
      <c r="A17" s="5" t="s">
        <v>108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P17" s="5"/>
      <c r="Q17" s="5"/>
      <c r="R17" s="5"/>
    </row>
    <row r="18" spans="1:18" x14ac:dyDescent="0.25">
      <c r="A18" t="s">
        <v>91</v>
      </c>
      <c r="J18" s="48">
        <v>5.0000000000000001E-3</v>
      </c>
      <c r="L18" s="48">
        <v>7.4999999999999997E-3</v>
      </c>
      <c r="P18" s="48">
        <v>7.4999999999999997E-3</v>
      </c>
      <c r="Q18" s="48">
        <v>5.0000000000000001E-3</v>
      </c>
      <c r="R18" s="48"/>
    </row>
    <row r="19" spans="1:18" x14ac:dyDescent="0.25">
      <c r="A19" t="s">
        <v>92</v>
      </c>
      <c r="J19" s="50">
        <v>0.5</v>
      </c>
      <c r="L19" s="50">
        <v>0.5</v>
      </c>
      <c r="P19" s="50">
        <v>0.5</v>
      </c>
      <c r="Q19" s="50">
        <v>0.5</v>
      </c>
      <c r="R19" s="50"/>
    </row>
    <row r="20" spans="1:18" x14ac:dyDescent="0.25">
      <c r="A20" s="5" t="s">
        <v>110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P20" s="5"/>
      <c r="Q20" s="5"/>
      <c r="R20" s="5"/>
    </row>
    <row r="21" spans="1:18" x14ac:dyDescent="0.25">
      <c r="A21" t="s">
        <v>101</v>
      </c>
      <c r="J21" s="48">
        <v>7.0000000000000007E-2</v>
      </c>
      <c r="L21" s="48">
        <v>5.5E-2</v>
      </c>
      <c r="P21" s="48">
        <v>5.5E-2</v>
      </c>
      <c r="Q21" s="48">
        <v>7.0000000000000007E-2</v>
      </c>
      <c r="R21" s="48"/>
    </row>
    <row r="22" spans="1:18" x14ac:dyDescent="0.25">
      <c r="A22" t="s">
        <v>168</v>
      </c>
      <c r="J22" s="49">
        <f>0.62*J21</f>
        <v>4.3400000000000001E-2</v>
      </c>
      <c r="L22" s="49">
        <v>3.4000000000000002E-2</v>
      </c>
      <c r="P22" s="49">
        <v>3.4000000000000002E-2</v>
      </c>
      <c r="Q22" s="49">
        <f>0.62*Q21</f>
        <v>4.3400000000000001E-2</v>
      </c>
      <c r="R22" s="49"/>
    </row>
    <row r="23" spans="1:18" x14ac:dyDescent="0.25">
      <c r="A23" t="s">
        <v>102</v>
      </c>
      <c r="J23" s="49">
        <f>0.45*J21</f>
        <v>3.1500000000000007E-2</v>
      </c>
      <c r="L23" s="49">
        <v>2.4799999999999999E-2</v>
      </c>
      <c r="P23" s="49">
        <v>2.4799999999999999E-2</v>
      </c>
      <c r="Q23" s="49">
        <f>0.45*Q21</f>
        <v>3.1500000000000007E-2</v>
      </c>
      <c r="R23" s="49"/>
    </row>
    <row r="24" spans="1:18" x14ac:dyDescent="0.25">
      <c r="A24" t="s">
        <v>103</v>
      </c>
      <c r="J24" s="49">
        <v>2</v>
      </c>
      <c r="L24" s="49">
        <v>2</v>
      </c>
      <c r="P24" s="49">
        <v>2</v>
      </c>
      <c r="Q24" s="49">
        <v>2</v>
      </c>
      <c r="R24" s="49"/>
    </row>
    <row r="25" spans="1:18" x14ac:dyDescent="0.25">
      <c r="A25" t="s">
        <v>104</v>
      </c>
      <c r="J25" s="49">
        <v>1.5</v>
      </c>
      <c r="L25" s="49">
        <v>1.5</v>
      </c>
      <c r="P25" s="49">
        <v>1.5</v>
      </c>
      <c r="Q25" s="49">
        <v>1.5</v>
      </c>
      <c r="R25" s="49"/>
    </row>
    <row r="26" spans="1:18" x14ac:dyDescent="0.25">
      <c r="A26" t="s">
        <v>105</v>
      </c>
      <c r="J26" s="49">
        <v>0.6</v>
      </c>
      <c r="L26" s="49">
        <v>0.5</v>
      </c>
      <c r="P26" s="49">
        <v>0.5</v>
      </c>
      <c r="Q26" s="49">
        <v>0.5</v>
      </c>
      <c r="R26" s="49"/>
    </row>
    <row r="27" spans="1:18" x14ac:dyDescent="0.25">
      <c r="A27" t="s">
        <v>106</v>
      </c>
      <c r="J27" s="49">
        <v>-0.37</v>
      </c>
      <c r="L27" s="49">
        <v>-0.37</v>
      </c>
      <c r="P27" s="49">
        <v>-0.37</v>
      </c>
      <c r="Q27" s="49">
        <v>-0.37</v>
      </c>
      <c r="R27" s="49"/>
    </row>
    <row r="28" spans="1:18" x14ac:dyDescent="0.25">
      <c r="A28" t="s">
        <v>138</v>
      </c>
      <c r="J28" s="49">
        <v>1.6E-2</v>
      </c>
      <c r="L28" s="49">
        <v>1.6E-2</v>
      </c>
      <c r="P28" s="49">
        <v>1.6E-2</v>
      </c>
      <c r="Q28" s="49">
        <v>1.6E-2</v>
      </c>
      <c r="R28" s="49"/>
    </row>
    <row r="29" spans="1:18" x14ac:dyDescent="0.25">
      <c r="A29" t="s">
        <v>139</v>
      </c>
      <c r="J29" s="49">
        <v>0.01</v>
      </c>
      <c r="L29" s="49">
        <v>0.01</v>
      </c>
      <c r="P29" s="49">
        <v>0.01</v>
      </c>
      <c r="Q29" s="49">
        <v>0.01</v>
      </c>
      <c r="R29" s="49"/>
    </row>
    <row r="30" spans="1:18" x14ac:dyDescent="0.25">
      <c r="A30" t="s">
        <v>140</v>
      </c>
      <c r="J30" s="49">
        <f>J28*0.45</f>
        <v>7.2000000000000007E-3</v>
      </c>
      <c r="L30" s="49">
        <f>L28*0.45</f>
        <v>7.2000000000000007E-3</v>
      </c>
      <c r="P30" s="49">
        <f>P28*0.45</f>
        <v>7.2000000000000007E-3</v>
      </c>
      <c r="Q30" s="49">
        <f>Q28*0.45</f>
        <v>7.2000000000000007E-3</v>
      </c>
      <c r="R30" s="49"/>
    </row>
    <row r="31" spans="1:18" x14ac:dyDescent="0.25">
      <c r="J31" s="50"/>
      <c r="L31" s="50"/>
      <c r="P31" s="50"/>
      <c r="Q31" s="50"/>
      <c r="R31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B830-50C1-4324-A8B2-7CBF84F0A6B9}">
  <sheetPr codeName="Sheet3"/>
  <dimension ref="B1:H19"/>
  <sheetViews>
    <sheetView workbookViewId="0">
      <selection activeCell="L3" sqref="L3"/>
    </sheetView>
  </sheetViews>
  <sheetFormatPr defaultRowHeight="15" x14ac:dyDescent="0.25"/>
  <cols>
    <col min="2" max="5" width="14.140625" customWidth="1"/>
    <col min="12" max="12" width="18.85546875" bestFit="1" customWidth="1"/>
    <col min="14" max="14" width="26.28515625" customWidth="1"/>
  </cols>
  <sheetData>
    <row r="1" spans="2:8" ht="18.75" x14ac:dyDescent="0.3">
      <c r="B1" s="62" t="s">
        <v>129</v>
      </c>
    </row>
    <row r="2" spans="2:8" ht="18.75" x14ac:dyDescent="0.3">
      <c r="B2" s="62" t="s">
        <v>130</v>
      </c>
    </row>
    <row r="3" spans="2:8" x14ac:dyDescent="0.25">
      <c r="B3" s="72">
        <v>5</v>
      </c>
      <c r="C3" s="3" t="s">
        <v>133</v>
      </c>
      <c r="H3" s="76"/>
    </row>
    <row r="4" spans="2:8" x14ac:dyDescent="0.25">
      <c r="B4" s="63" t="s">
        <v>127</v>
      </c>
      <c r="C4" s="63" t="s">
        <v>8</v>
      </c>
      <c r="D4" s="63" t="s">
        <v>125</v>
      </c>
      <c r="E4" s="63" t="s">
        <v>126</v>
      </c>
    </row>
    <row r="5" spans="2:8" x14ac:dyDescent="0.25">
      <c r="B5" s="64" t="s">
        <v>124</v>
      </c>
      <c r="C5" s="64" t="s">
        <v>33</v>
      </c>
      <c r="D5" s="64" t="s">
        <v>33</v>
      </c>
      <c r="E5" s="64" t="s">
        <v>33</v>
      </c>
    </row>
    <row r="6" spans="2:8" x14ac:dyDescent="0.25">
      <c r="B6" s="65" t="s">
        <v>131</v>
      </c>
      <c r="C6" s="65" t="s">
        <v>128</v>
      </c>
      <c r="D6" s="65" t="s">
        <v>32</v>
      </c>
      <c r="E6" s="65" t="s">
        <v>32</v>
      </c>
    </row>
    <row r="7" spans="2:8" x14ac:dyDescent="0.25">
      <c r="B7" s="6">
        <v>0.2</v>
      </c>
      <c r="C7" s="6">
        <v>0.2</v>
      </c>
      <c r="D7">
        <v>10</v>
      </c>
      <c r="E7" s="7">
        <v>0</v>
      </c>
    </row>
    <row r="8" spans="2:8" x14ac:dyDescent="0.25">
      <c r="B8" s="7">
        <v>0.2</v>
      </c>
      <c r="C8" s="7">
        <v>0.2</v>
      </c>
      <c r="D8">
        <v>10</v>
      </c>
      <c r="E8" s="7">
        <v>5</v>
      </c>
    </row>
    <row r="9" spans="2:8" x14ac:dyDescent="0.25">
      <c r="B9" s="7">
        <v>0.2</v>
      </c>
      <c r="C9" s="7">
        <v>0.2</v>
      </c>
      <c r="D9">
        <v>10</v>
      </c>
      <c r="E9" s="7">
        <v>5</v>
      </c>
    </row>
    <row r="10" spans="2:8" x14ac:dyDescent="0.25">
      <c r="B10" s="7">
        <v>0.2</v>
      </c>
      <c r="C10" s="7">
        <v>0.2</v>
      </c>
      <c r="D10">
        <v>10</v>
      </c>
      <c r="E10" s="7">
        <v>0</v>
      </c>
    </row>
    <row r="11" spans="2:8" x14ac:dyDescent="0.25">
      <c r="B11" s="7">
        <v>0.2</v>
      </c>
      <c r="C11" s="7">
        <v>0.2</v>
      </c>
      <c r="D11">
        <v>10</v>
      </c>
      <c r="E11" s="7">
        <v>0</v>
      </c>
    </row>
    <row r="12" spans="2:8" x14ac:dyDescent="0.25">
      <c r="B12" s="7">
        <v>0</v>
      </c>
      <c r="C12" s="7">
        <v>0</v>
      </c>
      <c r="D12" s="7">
        <v>0</v>
      </c>
      <c r="E12" s="7">
        <v>0</v>
      </c>
    </row>
    <row r="13" spans="2:8" x14ac:dyDescent="0.25">
      <c r="B13" s="7">
        <v>0</v>
      </c>
      <c r="C13" s="7">
        <v>0</v>
      </c>
      <c r="D13" s="7">
        <v>0</v>
      </c>
      <c r="E13" s="7">
        <v>0</v>
      </c>
    </row>
    <row r="14" spans="2:8" x14ac:dyDescent="0.25">
      <c r="B14" s="7">
        <v>0</v>
      </c>
      <c r="C14" s="7">
        <v>0</v>
      </c>
      <c r="D14" s="7">
        <v>0</v>
      </c>
      <c r="E14" s="7">
        <v>0</v>
      </c>
    </row>
    <row r="15" spans="2:8" x14ac:dyDescent="0.25">
      <c r="B15" s="7">
        <v>0</v>
      </c>
      <c r="C15" s="7">
        <v>0</v>
      </c>
      <c r="D15" s="7">
        <v>0</v>
      </c>
      <c r="E15" s="7">
        <v>0</v>
      </c>
    </row>
    <row r="16" spans="2:8" x14ac:dyDescent="0.25">
      <c r="B16" s="8">
        <v>0</v>
      </c>
      <c r="C16" s="8">
        <v>0</v>
      </c>
      <c r="D16" s="8">
        <v>0</v>
      </c>
      <c r="E16" s="8">
        <v>0</v>
      </c>
    </row>
    <row r="17" spans="2:5" ht="15.75" thickBot="1" x14ac:dyDescent="0.3"/>
    <row r="18" spans="2:5" x14ac:dyDescent="0.25">
      <c r="B18" s="66" t="s">
        <v>132</v>
      </c>
      <c r="C18" s="67"/>
      <c r="D18" s="67"/>
      <c r="E18" s="68"/>
    </row>
    <row r="19" spans="2:5" ht="15.75" thickBot="1" x14ac:dyDescent="0.3">
      <c r="B19" s="69" t="s">
        <v>134</v>
      </c>
      <c r="C19" s="70"/>
      <c r="D19" s="70"/>
      <c r="E19" s="7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83F1A-0D63-41FA-9038-9C42BC965F70}">
  <sheetPr codeName="Sheet6"/>
  <dimension ref="A1:AD114"/>
  <sheetViews>
    <sheetView tabSelected="1" topLeftCell="K1" workbookViewId="0">
      <selection activeCell="Q31" sqref="Q31"/>
    </sheetView>
  </sheetViews>
  <sheetFormatPr defaultColWidth="15.5703125" defaultRowHeight="15" x14ac:dyDescent="0.25"/>
  <sheetData>
    <row r="1" spans="1:29" x14ac:dyDescent="0.25">
      <c r="A1" t="s">
        <v>180</v>
      </c>
      <c r="B1" t="s">
        <v>88</v>
      </c>
      <c r="C1" t="s">
        <v>159</v>
      </c>
      <c r="D1" t="s">
        <v>161</v>
      </c>
      <c r="E1" t="s">
        <v>160</v>
      </c>
      <c r="F1" t="s">
        <v>147</v>
      </c>
      <c r="G1" t="s">
        <v>152</v>
      </c>
      <c r="H1" t="s">
        <v>151</v>
      </c>
      <c r="I1" t="s">
        <v>158</v>
      </c>
      <c r="J1" t="s">
        <v>148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149</v>
      </c>
      <c r="Q1" t="s">
        <v>150</v>
      </c>
      <c r="R1" t="s">
        <v>181</v>
      </c>
      <c r="S1" t="s">
        <v>182</v>
      </c>
      <c r="T1" t="s">
        <v>213</v>
      </c>
      <c r="U1" t="s">
        <v>211</v>
      </c>
      <c r="V1" t="s">
        <v>212</v>
      </c>
      <c r="W1" t="s">
        <v>214</v>
      </c>
      <c r="X1" t="s">
        <v>215</v>
      </c>
      <c r="Y1" t="s">
        <v>216</v>
      </c>
      <c r="Z1" t="s">
        <v>217</v>
      </c>
      <c r="AA1" t="s">
        <v>218</v>
      </c>
      <c r="AB1" t="s">
        <v>224</v>
      </c>
      <c r="AC1" t="s">
        <v>210</v>
      </c>
    </row>
    <row r="2" spans="1:29" x14ac:dyDescent="0.25">
      <c r="A2">
        <v>1</v>
      </c>
      <c r="B2">
        <v>145</v>
      </c>
      <c r="C2">
        <v>2.8665017299828999E-2</v>
      </c>
      <c r="D2">
        <v>8.4026236717365907E-2</v>
      </c>
      <c r="E2">
        <v>25.941552178043551</v>
      </c>
      <c r="F2">
        <v>2.8665017299828999E-2</v>
      </c>
      <c r="G2">
        <v>25.941552178043551</v>
      </c>
      <c r="H2">
        <v>8.4026236717365907E-2</v>
      </c>
      <c r="I2">
        <v>4.4290248212077041E-2</v>
      </c>
      <c r="J2">
        <v>0.26388624567280289</v>
      </c>
      <c r="K2">
        <v>1.1108996538242306E-2</v>
      </c>
      <c r="L2">
        <v>7.0000000000000007E-2</v>
      </c>
      <c r="M2">
        <v>4.3400000000000001E-2</v>
      </c>
      <c r="N2">
        <v>3.1500000000000007E-2</v>
      </c>
      <c r="O2">
        <v>7.0000000000000007E-2</v>
      </c>
      <c r="P2">
        <v>1.815908652463049</v>
      </c>
      <c r="Q2">
        <v>0.4159086524630487</v>
      </c>
      <c r="R2">
        <v>0</v>
      </c>
      <c r="S2">
        <v>0</v>
      </c>
      <c r="T2">
        <v>3.2796018682651083E-3</v>
      </c>
      <c r="U2">
        <v>0.23500930459175584</v>
      </c>
      <c r="V2">
        <v>0.2295591675778951</v>
      </c>
      <c r="W2">
        <v>0.2</v>
      </c>
      <c r="X2">
        <v>330.19629002795944</v>
      </c>
      <c r="Y2">
        <v>33.045881620162746</v>
      </c>
      <c r="Z2">
        <v>25</v>
      </c>
      <c r="AA2">
        <v>0</v>
      </c>
      <c r="AB2">
        <v>388.24217164812217</v>
      </c>
      <c r="AC2">
        <v>0.4159086524630487</v>
      </c>
    </row>
    <row r="3" spans="1:29" x14ac:dyDescent="0.25">
      <c r="A3">
        <v>2</v>
      </c>
      <c r="B3">
        <v>146</v>
      </c>
      <c r="C3">
        <v>3.031548619629643E-2</v>
      </c>
      <c r="D3">
        <v>0.12012393806818483</v>
      </c>
      <c r="E3">
        <v>33.925538428480245</v>
      </c>
      <c r="F3">
        <v>3.031548619629643E-2</v>
      </c>
      <c r="G3">
        <v>33.925538428480245</v>
      </c>
      <c r="H3">
        <v>0.12012393806818483</v>
      </c>
      <c r="I3">
        <v>0.37129080668721376</v>
      </c>
      <c r="J3">
        <v>0.26653122787868017</v>
      </c>
      <c r="K3">
        <v>1.322498230294414E-2</v>
      </c>
      <c r="L3">
        <v>7.0000000000000007E-2</v>
      </c>
      <c r="M3">
        <v>4.3400000000000001E-2</v>
      </c>
      <c r="N3">
        <v>3.1500000000000007E-2</v>
      </c>
      <c r="O3">
        <v>7.0000000000000007E-2</v>
      </c>
      <c r="P3">
        <v>2.3747876899936173</v>
      </c>
      <c r="Q3">
        <v>0.97478768999361709</v>
      </c>
      <c r="R3">
        <v>0</v>
      </c>
      <c r="S3">
        <v>0</v>
      </c>
      <c r="T3">
        <v>7.9053888711521272E-3</v>
      </c>
      <c r="U3">
        <v>0.23476905671561948</v>
      </c>
      <c r="V3">
        <v>0.2295591675778951</v>
      </c>
      <c r="W3">
        <v>0.2</v>
      </c>
      <c r="X3">
        <v>329.75579939568848</v>
      </c>
      <c r="Y3">
        <v>33.06778123179533</v>
      </c>
      <c r="Z3">
        <v>25</v>
      </c>
      <c r="AA3">
        <v>0</v>
      </c>
      <c r="AB3">
        <v>387.82358062748381</v>
      </c>
      <c r="AC3">
        <v>0.55887903753056845</v>
      </c>
    </row>
    <row r="4" spans="1:29" x14ac:dyDescent="0.25">
      <c r="A4">
        <v>3</v>
      </c>
      <c r="B4">
        <v>147</v>
      </c>
      <c r="C4">
        <v>3.2275380605783173E-2</v>
      </c>
      <c r="D4">
        <v>0.13664039299218153</v>
      </c>
      <c r="E4">
        <v>41.948051329245743</v>
      </c>
      <c r="F4">
        <v>3.2275380605783173E-2</v>
      </c>
      <c r="G4">
        <v>41.948051329245743</v>
      </c>
      <c r="H4">
        <v>0.13664039299218153</v>
      </c>
      <c r="I4">
        <v>0.26449108721039893</v>
      </c>
      <c r="J4">
        <v>0.26967208430413969</v>
      </c>
      <c r="K4">
        <v>1.5737667443311759E-2</v>
      </c>
      <c r="L4">
        <v>7.0000000000000007E-2</v>
      </c>
      <c r="M4">
        <v>4.3400000000000001E-2</v>
      </c>
      <c r="N4">
        <v>3.1500000000000007E-2</v>
      </c>
      <c r="O4">
        <v>7.0000000000000007E-2</v>
      </c>
      <c r="P4">
        <v>2.9363635930472021</v>
      </c>
      <c r="Q4">
        <v>1.5363635930472022</v>
      </c>
      <c r="R4">
        <v>0</v>
      </c>
      <c r="S4">
        <v>0</v>
      </c>
      <c r="T4">
        <v>1.3080957451102979E-2</v>
      </c>
      <c r="U4">
        <v>0.23449577592963511</v>
      </c>
      <c r="V4">
        <v>0.2295591675778951</v>
      </c>
      <c r="W4">
        <v>0.2</v>
      </c>
      <c r="X4">
        <v>329.32497706651009</v>
      </c>
      <c r="Y4">
        <v>33.092294180257035</v>
      </c>
      <c r="Z4">
        <v>25</v>
      </c>
      <c r="AA4">
        <v>0</v>
      </c>
      <c r="AB4">
        <v>387.41727124676714</v>
      </c>
      <c r="AC4">
        <v>0.56157590305358507</v>
      </c>
    </row>
    <row r="5" spans="1:29" x14ac:dyDescent="0.25">
      <c r="A5">
        <v>4</v>
      </c>
      <c r="B5">
        <v>148</v>
      </c>
      <c r="C5">
        <v>3.4600660725590475E-2</v>
      </c>
      <c r="D5">
        <v>0.11790563119775055</v>
      </c>
      <c r="E5">
        <v>49.479417726344366</v>
      </c>
      <c r="F5">
        <v>3.4600660725590475E-2</v>
      </c>
      <c r="G5">
        <v>49.479417726344366</v>
      </c>
      <c r="H5">
        <v>0.11790563119775055</v>
      </c>
      <c r="I5">
        <v>0.14970757524230432</v>
      </c>
      <c r="J5">
        <v>0.27339849475254885</v>
      </c>
      <c r="K5">
        <v>1.871879580203907E-2</v>
      </c>
      <c r="L5">
        <v>7.0000000000000007E-2</v>
      </c>
      <c r="M5">
        <v>4.3400000000000001E-2</v>
      </c>
      <c r="N5">
        <v>3.1500000000000007E-2</v>
      </c>
      <c r="O5">
        <v>7.0000000000000007E-2</v>
      </c>
      <c r="P5">
        <v>3.4635592408441056</v>
      </c>
      <c r="Q5">
        <v>2.0635592408441061</v>
      </c>
      <c r="R5">
        <v>0</v>
      </c>
      <c r="S5">
        <v>0</v>
      </c>
      <c r="T5">
        <v>1.7441089375459937E-2</v>
      </c>
      <c r="U5">
        <v>0.23425996466723958</v>
      </c>
      <c r="V5">
        <v>0.2295591675778951</v>
      </c>
      <c r="W5">
        <v>0.2</v>
      </c>
      <c r="X5">
        <v>328.95209890349003</v>
      </c>
      <c r="Y5">
        <v>33.12145449426604</v>
      </c>
      <c r="Z5">
        <v>25</v>
      </c>
      <c r="AA5">
        <v>0</v>
      </c>
      <c r="AB5">
        <v>387.07355339775609</v>
      </c>
      <c r="AC5">
        <v>0.52719564779690387</v>
      </c>
    </row>
    <row r="6" spans="1:29" x14ac:dyDescent="0.25">
      <c r="A6">
        <v>5</v>
      </c>
      <c r="B6">
        <v>149</v>
      </c>
      <c r="C6">
        <v>3.735656318953183E-2</v>
      </c>
      <c r="D6">
        <v>0.21855782305650873</v>
      </c>
      <c r="E6">
        <v>60.160076458794819</v>
      </c>
      <c r="F6">
        <v>3.735656318953183E-2</v>
      </c>
      <c r="G6">
        <v>60.160076458794819</v>
      </c>
      <c r="H6">
        <v>0.21855782305650873</v>
      </c>
      <c r="I6">
        <v>0.20676328519420076</v>
      </c>
      <c r="J6">
        <v>0.2778150051114292</v>
      </c>
      <c r="K6">
        <v>2.2252004089143369E-2</v>
      </c>
      <c r="L6">
        <v>7.0000000000000007E-2</v>
      </c>
      <c r="M6">
        <v>4.3400000000000001E-2</v>
      </c>
      <c r="N6">
        <v>3.1500000000000007E-2</v>
      </c>
      <c r="O6">
        <v>7.0000000000000007E-2</v>
      </c>
      <c r="P6">
        <v>4.2112053521156376</v>
      </c>
      <c r="Q6">
        <v>2.8112053521156382</v>
      </c>
      <c r="R6">
        <v>0</v>
      </c>
      <c r="S6">
        <v>0</v>
      </c>
      <c r="T6">
        <v>2.5417512949208201E-2</v>
      </c>
      <c r="U6">
        <v>0.23382284902112657</v>
      </c>
      <c r="V6">
        <v>0.2295591675778951</v>
      </c>
      <c r="W6">
        <v>0.2</v>
      </c>
      <c r="X6">
        <v>328.38033515443237</v>
      </c>
      <c r="Y6">
        <v>33.154822141580347</v>
      </c>
      <c r="Z6">
        <v>25</v>
      </c>
      <c r="AA6">
        <v>0</v>
      </c>
      <c r="AB6">
        <v>386.5351572960127</v>
      </c>
      <c r="AC6">
        <v>0.74764611127153202</v>
      </c>
    </row>
    <row r="7" spans="1:29" x14ac:dyDescent="0.25">
      <c r="A7">
        <v>6</v>
      </c>
      <c r="B7">
        <v>150</v>
      </c>
      <c r="C7">
        <v>4.0618791372141777E-2</v>
      </c>
      <c r="D7">
        <v>0.17614859218156445</v>
      </c>
      <c r="E7">
        <v>69.522444691530666</v>
      </c>
      <c r="F7">
        <v>4.0618791372141777E-2</v>
      </c>
      <c r="G7">
        <v>69.522444691530666</v>
      </c>
      <c r="H7">
        <v>0.17614859218156445</v>
      </c>
      <c r="I7">
        <v>0.10580428847255169</v>
      </c>
      <c r="J7">
        <v>0.28304293489125282</v>
      </c>
      <c r="K7">
        <v>2.6434347913002275E-2</v>
      </c>
      <c r="L7">
        <v>7.0000000000000007E-2</v>
      </c>
      <c r="M7">
        <v>4.3400000000000001E-2</v>
      </c>
      <c r="N7">
        <v>3.1500000000000007E-2</v>
      </c>
      <c r="O7">
        <v>7.0000000000000007E-2</v>
      </c>
      <c r="P7">
        <v>4.8665711284071467</v>
      </c>
      <c r="Q7">
        <v>3.4665711284071468</v>
      </c>
      <c r="R7">
        <v>0</v>
      </c>
      <c r="S7">
        <v>0</v>
      </c>
      <c r="T7">
        <v>3.1611135693274797E-2</v>
      </c>
      <c r="U7">
        <v>0.23347055183676346</v>
      </c>
      <c r="V7">
        <v>0.2295591675778951</v>
      </c>
      <c r="W7">
        <v>0.2</v>
      </c>
      <c r="X7">
        <v>327.89431616330569</v>
      </c>
      <c r="Y7">
        <v>33.186945773192541</v>
      </c>
      <c r="Z7">
        <v>25</v>
      </c>
      <c r="AA7">
        <v>0</v>
      </c>
      <c r="AB7">
        <v>386.08126193649821</v>
      </c>
      <c r="AC7">
        <v>0.65536577629150883</v>
      </c>
    </row>
    <row r="8" spans="1:29" x14ac:dyDescent="0.25">
      <c r="A8">
        <v>7</v>
      </c>
      <c r="B8">
        <v>151</v>
      </c>
      <c r="C8">
        <v>4.4474710980931975E-2</v>
      </c>
      <c r="D8">
        <v>0.1459963781917607</v>
      </c>
      <c r="E8">
        <v>79.845947596337638</v>
      </c>
      <c r="F8">
        <v>4.4474710980931975E-2</v>
      </c>
      <c r="G8">
        <v>79.845947596337638</v>
      </c>
      <c r="H8">
        <v>0.14599637819176073</v>
      </c>
      <c r="I8">
        <v>6.3820464776030428E-2</v>
      </c>
      <c r="J8">
        <v>0.28922229323867304</v>
      </c>
      <c r="K8">
        <v>3.137783459093843E-2</v>
      </c>
      <c r="L8">
        <v>7.0000000000000007E-2</v>
      </c>
      <c r="M8">
        <v>4.3400000000000001E-2</v>
      </c>
      <c r="N8">
        <v>3.1500000000000007E-2</v>
      </c>
      <c r="O8">
        <v>7.0000000000000007E-2</v>
      </c>
      <c r="P8">
        <v>5.5892163317436347</v>
      </c>
      <c r="Q8">
        <v>4.1892163317436353</v>
      </c>
      <c r="R8">
        <v>0</v>
      </c>
      <c r="S8">
        <v>0</v>
      </c>
      <c r="T8">
        <v>3.6494812330740152E-2</v>
      </c>
      <c r="U8">
        <v>0.23317855908037993</v>
      </c>
      <c r="V8">
        <v>0.2295591675778951</v>
      </c>
      <c r="W8">
        <v>0.2</v>
      </c>
      <c r="X8">
        <v>327.2985689904221</v>
      </c>
      <c r="Y8">
        <v>33.211002468218808</v>
      </c>
      <c r="Z8">
        <v>25</v>
      </c>
      <c r="AA8">
        <v>0</v>
      </c>
      <c r="AB8">
        <v>385.50957145864089</v>
      </c>
      <c r="AC8">
        <v>0.7226452033364883</v>
      </c>
    </row>
    <row r="9" spans="1:29" x14ac:dyDescent="0.25">
      <c r="A9">
        <v>8</v>
      </c>
      <c r="B9">
        <v>152</v>
      </c>
      <c r="C9">
        <v>4.9024475805654694E-2</v>
      </c>
      <c r="D9">
        <v>0.28783903852451714</v>
      </c>
      <c r="E9">
        <v>96.271498405795427</v>
      </c>
      <c r="F9">
        <v>4.9024475805654694E-2</v>
      </c>
      <c r="G9">
        <v>96.271498405795427</v>
      </c>
      <c r="H9">
        <v>0.2878390385245172</v>
      </c>
      <c r="I9">
        <v>4.5858901806529122</v>
      </c>
      <c r="J9">
        <v>0.29651358302188252</v>
      </c>
      <c r="K9">
        <v>3.7210866417506018E-2</v>
      </c>
      <c r="L9">
        <v>7.0000000000000007E-2</v>
      </c>
      <c r="M9">
        <v>4.3400000000000001E-2</v>
      </c>
      <c r="N9">
        <v>3.1500000000000007E-2</v>
      </c>
      <c r="O9">
        <v>7.0000000000000007E-2</v>
      </c>
      <c r="P9">
        <v>6.739004888405681</v>
      </c>
      <c r="Q9">
        <v>5.3390048884056807</v>
      </c>
      <c r="R9">
        <v>0</v>
      </c>
      <c r="S9">
        <v>0</v>
      </c>
      <c r="T9">
        <v>4.6093937272445921E-2</v>
      </c>
      <c r="U9">
        <v>0.23260288100333087</v>
      </c>
      <c r="V9">
        <v>0.2295591675778951</v>
      </c>
      <c r="W9">
        <v>0.2</v>
      </c>
      <c r="X9">
        <v>326.29374075908783</v>
      </c>
      <c r="Y9">
        <v>33.233472402659544</v>
      </c>
      <c r="Z9">
        <v>25</v>
      </c>
      <c r="AA9">
        <v>0</v>
      </c>
      <c r="AB9">
        <v>384.52721316174734</v>
      </c>
      <c r="AC9">
        <v>1.1497885566620456</v>
      </c>
    </row>
    <row r="10" spans="1:29" x14ac:dyDescent="0.25">
      <c r="A10">
        <v>9</v>
      </c>
      <c r="B10">
        <v>153</v>
      </c>
      <c r="C10">
        <v>5.4381973244739097E-2</v>
      </c>
      <c r="D10">
        <v>0.31689042279423635</v>
      </c>
      <c r="E10">
        <v>112.94127155247439</v>
      </c>
      <c r="F10">
        <v>5.4381973244739097E-2</v>
      </c>
      <c r="G10">
        <v>112.94127155247439</v>
      </c>
      <c r="H10">
        <v>0.3168904227942364</v>
      </c>
      <c r="I10">
        <v>4.5051622327744321</v>
      </c>
      <c r="J10">
        <v>0.30509931609733831</v>
      </c>
      <c r="K10">
        <v>4.4079452877870635E-2</v>
      </c>
      <c r="L10">
        <v>7.0000000000000007E-2</v>
      </c>
      <c r="M10">
        <v>4.3400000000000001E-2</v>
      </c>
      <c r="N10">
        <v>3.1500000000000007E-2</v>
      </c>
      <c r="O10">
        <v>7.0000000000000007E-2</v>
      </c>
      <c r="P10">
        <v>7.9058890086732081</v>
      </c>
      <c r="Q10">
        <v>6.5058890086732077</v>
      </c>
      <c r="R10">
        <v>0</v>
      </c>
      <c r="S10">
        <v>0</v>
      </c>
      <c r="T10">
        <v>5.6217825764795643E-2</v>
      </c>
      <c r="U10">
        <v>0.23196910015774241</v>
      </c>
      <c r="V10">
        <v>0.2295591675778951</v>
      </c>
      <c r="W10">
        <v>0.2</v>
      </c>
      <c r="X10">
        <v>325.23123942716688</v>
      </c>
      <c r="Y10">
        <v>33.252918644935939</v>
      </c>
      <c r="Z10">
        <v>25</v>
      </c>
      <c r="AA10">
        <v>0</v>
      </c>
      <c r="AB10">
        <v>383.48415807210284</v>
      </c>
      <c r="AC10">
        <v>1.1668841202675266</v>
      </c>
    </row>
    <row r="11" spans="1:29" x14ac:dyDescent="0.25">
      <c r="A11">
        <v>10</v>
      </c>
      <c r="B11">
        <v>154</v>
      </c>
      <c r="C11">
        <v>6.0675434884682564E-2</v>
      </c>
      <c r="D11">
        <v>0.20661944917733574</v>
      </c>
      <c r="E11">
        <v>127.55147291630672</v>
      </c>
      <c r="F11">
        <v>6.0675434884682564E-2</v>
      </c>
      <c r="G11">
        <v>127.55147291630672</v>
      </c>
      <c r="H11">
        <v>0.20661944917733577</v>
      </c>
      <c r="I11">
        <v>0.15041953710327816</v>
      </c>
      <c r="J11">
        <v>0.31518499180237591</v>
      </c>
      <c r="K11">
        <v>5.2147993441900721E-2</v>
      </c>
      <c r="L11">
        <v>7.0000000000000007E-2</v>
      </c>
      <c r="M11">
        <v>4.3400000000000001E-2</v>
      </c>
      <c r="N11">
        <v>3.1500000000000007E-2</v>
      </c>
      <c r="O11">
        <v>7.0000000000000007E-2</v>
      </c>
      <c r="P11">
        <v>8.9286031041414713</v>
      </c>
      <c r="Q11">
        <v>7.5286031041414709</v>
      </c>
      <c r="R11">
        <v>0</v>
      </c>
      <c r="S11">
        <v>0</v>
      </c>
      <c r="T11">
        <v>6.2110690140571988E-2</v>
      </c>
      <c r="U11">
        <v>0.23155586125938776</v>
      </c>
      <c r="V11">
        <v>0.2295591675778951</v>
      </c>
      <c r="W11">
        <v>0.2</v>
      </c>
      <c r="X11">
        <v>324.34083522876261</v>
      </c>
      <c r="Y11">
        <v>33.277869122045757</v>
      </c>
      <c r="Z11">
        <v>25</v>
      </c>
      <c r="AA11">
        <v>0</v>
      </c>
      <c r="AB11">
        <v>382.61870435080834</v>
      </c>
      <c r="AC11">
        <v>1.0227140954682639</v>
      </c>
    </row>
    <row r="12" spans="1:29" x14ac:dyDescent="0.25">
      <c r="A12">
        <v>11</v>
      </c>
      <c r="B12">
        <v>155</v>
      </c>
      <c r="C12">
        <v>6.8047504443229268E-2</v>
      </c>
      <c r="D12">
        <v>0.30003329157746872</v>
      </c>
      <c r="E12">
        <v>146.66109375243781</v>
      </c>
      <c r="F12">
        <v>6.8047504443229268E-2</v>
      </c>
      <c r="G12">
        <v>146.66109375243781</v>
      </c>
      <c r="H12">
        <v>0.30003329157746872</v>
      </c>
      <c r="I12">
        <v>1.7687657799688499</v>
      </c>
      <c r="J12">
        <v>0.32699920583850844</v>
      </c>
      <c r="K12">
        <v>6.1599364670806747E-2</v>
      </c>
      <c r="L12">
        <v>7.0000000000000007E-2</v>
      </c>
      <c r="M12">
        <v>4.3400000000000001E-2</v>
      </c>
      <c r="N12">
        <v>3.1500000000000007E-2</v>
      </c>
      <c r="O12">
        <v>7.0000000000000007E-2</v>
      </c>
      <c r="P12">
        <v>10.266276562670647</v>
      </c>
      <c r="Q12">
        <v>8.866276562670647</v>
      </c>
      <c r="R12">
        <v>0</v>
      </c>
      <c r="S12">
        <v>0</v>
      </c>
      <c r="T12">
        <v>7.0481018500633499E-2</v>
      </c>
      <c r="U12">
        <v>0.23095579467623284</v>
      </c>
      <c r="V12">
        <v>0.2295591675778951</v>
      </c>
      <c r="W12">
        <v>0.2</v>
      </c>
      <c r="X12">
        <v>323.12113901065646</v>
      </c>
      <c r="Y12">
        <v>33.298747946664278</v>
      </c>
      <c r="Z12">
        <v>25</v>
      </c>
      <c r="AA12">
        <v>0</v>
      </c>
      <c r="AB12">
        <v>381.41988695732073</v>
      </c>
      <c r="AC12">
        <v>1.3376734585291752</v>
      </c>
    </row>
    <row r="13" spans="1:29" x14ac:dyDescent="0.25">
      <c r="A13">
        <v>12</v>
      </c>
      <c r="B13">
        <v>156</v>
      </c>
      <c r="C13">
        <v>7.6654496471310007E-2</v>
      </c>
      <c r="D13">
        <v>0.47281957213185755</v>
      </c>
      <c r="E13">
        <v>171.06383179677405</v>
      </c>
      <c r="F13">
        <v>7.6654496471310007E-2</v>
      </c>
      <c r="G13">
        <v>171.06383179677405</v>
      </c>
      <c r="H13">
        <v>0.47281957213185755</v>
      </c>
      <c r="I13">
        <v>3.7788726065864195</v>
      </c>
      <c r="J13">
        <v>0.34079246229376603</v>
      </c>
      <c r="K13">
        <v>7.2633969835012829E-2</v>
      </c>
      <c r="L13">
        <v>7.0000000000000007E-2</v>
      </c>
      <c r="M13">
        <v>4.3400000000000001E-2</v>
      </c>
      <c r="N13">
        <v>3.1500000000000007E-2</v>
      </c>
      <c r="O13">
        <v>7.0000000000000007E-2</v>
      </c>
      <c r="P13">
        <v>11.974468225774185</v>
      </c>
      <c r="Q13">
        <v>10.574468225774181</v>
      </c>
      <c r="R13">
        <v>0</v>
      </c>
      <c r="S13">
        <v>0</v>
      </c>
      <c r="T13">
        <v>8.3406555440688451E-2</v>
      </c>
      <c r="U13">
        <v>0.23001015553196913</v>
      </c>
      <c r="V13">
        <v>0.2295591675778951</v>
      </c>
      <c r="W13">
        <v>0.2</v>
      </c>
      <c r="X13">
        <v>321.53441906766773</v>
      </c>
      <c r="Y13">
        <v>33.321311490075814</v>
      </c>
      <c r="Z13">
        <v>25</v>
      </c>
      <c r="AA13">
        <v>0</v>
      </c>
      <c r="AB13">
        <v>379.85573055774353</v>
      </c>
      <c r="AC13">
        <v>1.7081916631035352</v>
      </c>
    </row>
    <row r="14" spans="1:29" x14ac:dyDescent="0.25">
      <c r="A14">
        <v>13</v>
      </c>
      <c r="B14">
        <v>157</v>
      </c>
      <c r="C14">
        <v>8.6664520557537844E-2</v>
      </c>
      <c r="D14">
        <v>0.58681358059432076</v>
      </c>
      <c r="E14">
        <v>197.70960652552199</v>
      </c>
      <c r="F14">
        <v>8.6664520557537844E-2</v>
      </c>
      <c r="G14">
        <v>197.70960652552199</v>
      </c>
      <c r="H14">
        <v>0.58681358059432076</v>
      </c>
      <c r="I14">
        <v>0.36015294611538773</v>
      </c>
      <c r="J14">
        <v>0.35683416756015679</v>
      </c>
      <c r="K14">
        <v>8.546733404812544E-2</v>
      </c>
      <c r="L14">
        <v>7.0000000000000007E-2</v>
      </c>
      <c r="M14">
        <v>4.3400000000000001E-2</v>
      </c>
      <c r="N14">
        <v>3.1500000000000007E-2</v>
      </c>
      <c r="O14">
        <v>7.0000000000000007E-2</v>
      </c>
      <c r="P14">
        <v>13.839672456786541</v>
      </c>
      <c r="Q14">
        <v>12.439672456786537</v>
      </c>
      <c r="R14">
        <v>0</v>
      </c>
      <c r="S14">
        <v>0</v>
      </c>
      <c r="T14">
        <v>9.8497572297474897E-2</v>
      </c>
      <c r="U14">
        <v>0.22883652837078045</v>
      </c>
      <c r="V14">
        <v>0.2295591675778951</v>
      </c>
      <c r="W14">
        <v>0.2</v>
      </c>
      <c r="X14">
        <v>319.79944200796319</v>
      </c>
      <c r="Y14">
        <v>33.345908686190498</v>
      </c>
      <c r="Z14">
        <v>25</v>
      </c>
      <c r="AA14">
        <v>0</v>
      </c>
      <c r="AB14">
        <v>378.14535069415371</v>
      </c>
      <c r="AC14">
        <v>1.865204231012356</v>
      </c>
    </row>
    <row r="15" spans="1:29" x14ac:dyDescent="0.25">
      <c r="A15">
        <v>14</v>
      </c>
      <c r="B15">
        <v>158</v>
      </c>
      <c r="C15">
        <v>9.8254098747095051E-2</v>
      </c>
      <c r="D15">
        <v>0.65649797402140431</v>
      </c>
      <c r="E15">
        <v>230.31744953385953</v>
      </c>
      <c r="F15">
        <v>9.8254098747095051E-2</v>
      </c>
      <c r="G15">
        <v>230.3174495338595</v>
      </c>
      <c r="H15">
        <v>0.6564979740214042</v>
      </c>
      <c r="I15">
        <v>1.708684505654672</v>
      </c>
      <c r="J15">
        <v>0.37540720953060103</v>
      </c>
      <c r="K15">
        <v>0.10032576762448082</v>
      </c>
      <c r="L15">
        <v>7.0000000000000007E-2</v>
      </c>
      <c r="M15">
        <v>4.3400000000000001E-2</v>
      </c>
      <c r="N15">
        <v>3.1500000000000007E-2</v>
      </c>
      <c r="O15">
        <v>7.0000000000000007E-2</v>
      </c>
      <c r="P15">
        <v>16.122221467370167</v>
      </c>
      <c r="Q15">
        <v>14.722221467370161</v>
      </c>
      <c r="R15">
        <v>0</v>
      </c>
      <c r="S15">
        <v>0</v>
      </c>
      <c r="T15">
        <v>0.11400324019784633</v>
      </c>
      <c r="U15">
        <v>0.22752353242273765</v>
      </c>
      <c r="V15">
        <v>0.2295591675778951</v>
      </c>
      <c r="W15">
        <v>0.2</v>
      </c>
      <c r="X15">
        <v>317.65378209943032</v>
      </c>
      <c r="Y15">
        <v>33.371169018937813</v>
      </c>
      <c r="Z15">
        <v>25</v>
      </c>
      <c r="AA15">
        <v>0</v>
      </c>
      <c r="AB15">
        <v>376.02495111836811</v>
      </c>
      <c r="AC15">
        <v>2.2825490105836246</v>
      </c>
    </row>
    <row r="16" spans="1:29" x14ac:dyDescent="0.25">
      <c r="A16">
        <v>15</v>
      </c>
      <c r="B16">
        <v>159</v>
      </c>
      <c r="C16">
        <v>0.11160288643562996</v>
      </c>
      <c r="D16">
        <v>0.71614810291724129</v>
      </c>
      <c r="E16">
        <v>264.75390327315864</v>
      </c>
      <c r="F16">
        <v>0.11160288643562996</v>
      </c>
      <c r="G16">
        <v>264.75390327315864</v>
      </c>
      <c r="H16">
        <v>0.7161481029172414</v>
      </c>
      <c r="I16">
        <v>0.42337506438194511</v>
      </c>
      <c r="J16">
        <v>0.3967994974929967</v>
      </c>
      <c r="K16">
        <v>0.11743959799439738</v>
      </c>
      <c r="L16">
        <v>7.0000000000000007E-2</v>
      </c>
      <c r="M16">
        <v>4.3400000000000001E-2</v>
      </c>
      <c r="N16">
        <v>3.1500000000000007E-2</v>
      </c>
      <c r="O16">
        <v>7.0000000000000007E-2</v>
      </c>
      <c r="P16">
        <v>18.532773229121105</v>
      </c>
      <c r="Q16">
        <v>17.132773229121103</v>
      </c>
      <c r="R16">
        <v>0</v>
      </c>
      <c r="S16">
        <v>0</v>
      </c>
      <c r="T16">
        <v>0.12931806986077757</v>
      </c>
      <c r="U16">
        <v>0.22609123621690314</v>
      </c>
      <c r="V16">
        <v>0.2295591675778951</v>
      </c>
      <c r="W16">
        <v>0.2</v>
      </c>
      <c r="X16">
        <v>315.35822610584495</v>
      </c>
      <c r="Y16">
        <v>33.392690718396899</v>
      </c>
      <c r="Z16">
        <v>25</v>
      </c>
      <c r="AA16">
        <v>0</v>
      </c>
      <c r="AB16">
        <v>373.75091682424187</v>
      </c>
      <c r="AC16">
        <v>2.4105517617509404</v>
      </c>
    </row>
    <row r="17" spans="1:29" x14ac:dyDescent="0.25">
      <c r="A17">
        <v>16</v>
      </c>
      <c r="B17">
        <v>160</v>
      </c>
      <c r="C17">
        <v>0.1268861442710848</v>
      </c>
      <c r="D17">
        <v>0.84160104618149456</v>
      </c>
      <c r="E17">
        <v>300.55753441585892</v>
      </c>
      <c r="F17">
        <v>0.1268861442710848</v>
      </c>
      <c r="G17">
        <v>300.55753441585892</v>
      </c>
      <c r="H17">
        <v>0.84160104618149478</v>
      </c>
      <c r="I17">
        <v>0.25158312027832846</v>
      </c>
      <c r="J17">
        <v>0.42129189787032817</v>
      </c>
      <c r="K17">
        <v>0.13703351829626256</v>
      </c>
      <c r="L17">
        <v>7.0000000000000007E-2</v>
      </c>
      <c r="M17">
        <v>4.3400000000000001E-2</v>
      </c>
      <c r="N17">
        <v>3.1500000000000007E-2</v>
      </c>
      <c r="O17">
        <v>7.0000000000000007E-2</v>
      </c>
      <c r="P17">
        <v>21.039027409110126</v>
      </c>
      <c r="Q17">
        <v>19.639027409110124</v>
      </c>
      <c r="R17">
        <v>0</v>
      </c>
      <c r="S17">
        <v>0</v>
      </c>
      <c r="T17">
        <v>0.14581162530119832</v>
      </c>
      <c r="U17">
        <v>0.22440803412454016</v>
      </c>
      <c r="V17">
        <v>0.2295591675778951</v>
      </c>
      <c r="W17">
        <v>0.2</v>
      </c>
      <c r="X17">
        <v>312.99423925911458</v>
      </c>
      <c r="Y17">
        <v>33.419258799001412</v>
      </c>
      <c r="Z17">
        <v>25</v>
      </c>
      <c r="AA17">
        <v>0</v>
      </c>
      <c r="AB17">
        <v>371.41349805811598</v>
      </c>
      <c r="AC17">
        <v>2.5062541799890194</v>
      </c>
    </row>
    <row r="18" spans="1:29" x14ac:dyDescent="0.25">
      <c r="A18">
        <v>17</v>
      </c>
      <c r="B18">
        <v>161</v>
      </c>
      <c r="C18">
        <v>0.14426473132592016</v>
      </c>
      <c r="D18">
        <v>0.90466817244277919</v>
      </c>
      <c r="E18">
        <v>337.8149274278997</v>
      </c>
      <c r="F18">
        <v>0.14426473132592016</v>
      </c>
      <c r="G18">
        <v>337.8149274278997</v>
      </c>
      <c r="H18">
        <v>0.90466817244277919</v>
      </c>
      <c r="I18">
        <v>0.15486506004541364</v>
      </c>
      <c r="J18">
        <v>0.44914219763769253</v>
      </c>
      <c r="K18">
        <v>0.15931375811015405</v>
      </c>
      <c r="L18">
        <v>7.0000000000000007E-2</v>
      </c>
      <c r="M18">
        <v>4.3400000000000001E-2</v>
      </c>
      <c r="N18">
        <v>3.1500000000000007E-2</v>
      </c>
      <c r="O18">
        <v>7.0000000000000007E-2</v>
      </c>
      <c r="P18">
        <v>23.647044919952982</v>
      </c>
      <c r="Q18">
        <v>22.24704491995298</v>
      </c>
      <c r="R18">
        <v>0</v>
      </c>
      <c r="S18">
        <v>0</v>
      </c>
      <c r="T18">
        <v>0.16146106688925688</v>
      </c>
      <c r="U18">
        <v>0.22259869777965463</v>
      </c>
      <c r="V18">
        <v>0.2295591675778951</v>
      </c>
      <c r="W18">
        <v>0.2</v>
      </c>
      <c r="X18">
        <v>310.55625373450954</v>
      </c>
      <c r="Y18">
        <v>33.449513510857948</v>
      </c>
      <c r="Z18">
        <v>25</v>
      </c>
      <c r="AA18">
        <v>0</v>
      </c>
      <c r="AB18">
        <v>369.00576724536751</v>
      </c>
      <c r="AC18">
        <v>2.6080175108428567</v>
      </c>
    </row>
    <row r="19" spans="1:29" x14ac:dyDescent="0.25">
      <c r="A19">
        <v>18</v>
      </c>
      <c r="B19">
        <v>162</v>
      </c>
      <c r="C19">
        <v>0.16387262888867041</v>
      </c>
      <c r="D19">
        <v>0.92768775810230142</v>
      </c>
      <c r="E19">
        <v>377.61085615644237</v>
      </c>
      <c r="F19">
        <v>0.16387262888867041</v>
      </c>
      <c r="G19">
        <v>377.61085615644237</v>
      </c>
      <c r="H19">
        <v>0.92768775810230142</v>
      </c>
      <c r="I19">
        <v>0.10210488830259991</v>
      </c>
      <c r="J19">
        <v>0.48056511039851024</v>
      </c>
      <c r="K19">
        <v>0.18445208831880822</v>
      </c>
      <c r="L19">
        <v>7.0000000000000007E-2</v>
      </c>
      <c r="M19">
        <v>4.3400000000000001E-2</v>
      </c>
      <c r="N19">
        <v>3.1500000000000007E-2</v>
      </c>
      <c r="O19">
        <v>7.0000000000000007E-2</v>
      </c>
      <c r="P19">
        <v>26.432759930950965</v>
      </c>
      <c r="Q19">
        <v>25.032759930950963</v>
      </c>
      <c r="R19">
        <v>0</v>
      </c>
      <c r="S19">
        <v>0</v>
      </c>
      <c r="T19">
        <v>0.17513946664233251</v>
      </c>
      <c r="U19">
        <v>0.22074332226345</v>
      </c>
      <c r="V19">
        <v>0.2295591675778951</v>
      </c>
      <c r="W19">
        <v>0.2</v>
      </c>
      <c r="X19">
        <v>307.94769865618258</v>
      </c>
      <c r="Y19">
        <v>33.477769558097442</v>
      </c>
      <c r="Z19">
        <v>25</v>
      </c>
      <c r="AA19">
        <v>0</v>
      </c>
      <c r="AB19">
        <v>366.42546821428004</v>
      </c>
      <c r="AC19">
        <v>2.785715010997984</v>
      </c>
    </row>
    <row r="20" spans="1:29" x14ac:dyDescent="0.25">
      <c r="A20">
        <v>19</v>
      </c>
      <c r="B20">
        <v>163</v>
      </c>
      <c r="C20">
        <v>0.1858023799469373</v>
      </c>
      <c r="D20">
        <v>0.90106482447359315</v>
      </c>
      <c r="E20">
        <v>426.51913439712854</v>
      </c>
      <c r="F20">
        <v>0.1858023799469373</v>
      </c>
      <c r="G20">
        <v>426.51913439712854</v>
      </c>
      <c r="H20">
        <v>0.90106482447359326</v>
      </c>
      <c r="I20">
        <v>6.6357980845767287E-2</v>
      </c>
      <c r="J20">
        <v>0.51570894222265595</v>
      </c>
      <c r="K20">
        <v>0.21256715377812471</v>
      </c>
      <c r="L20">
        <v>7.0000000000000007E-2</v>
      </c>
      <c r="M20">
        <v>4.3400000000000001E-2</v>
      </c>
      <c r="N20">
        <v>3.1500000000000007E-2</v>
      </c>
      <c r="O20">
        <v>7.0000000000000007E-2</v>
      </c>
      <c r="P20">
        <v>29.856339407799002</v>
      </c>
      <c r="Q20">
        <v>28.456339407799</v>
      </c>
      <c r="R20">
        <v>0</v>
      </c>
      <c r="S20">
        <v>0</v>
      </c>
      <c r="T20">
        <v>0.18585395841873736</v>
      </c>
      <c r="U20">
        <v>0.21894290923031012</v>
      </c>
      <c r="V20">
        <v>0.22955745096208782</v>
      </c>
      <c r="W20">
        <v>0.2</v>
      </c>
      <c r="X20">
        <v>304.67688270071039</v>
      </c>
      <c r="Y20">
        <v>33.494103331347389</v>
      </c>
      <c r="Z20">
        <v>25</v>
      </c>
      <c r="AA20">
        <v>0</v>
      </c>
      <c r="AB20">
        <v>363.17098603205778</v>
      </c>
      <c r="AC20">
        <v>3.4235794768480363</v>
      </c>
    </row>
    <row r="21" spans="1:29" x14ac:dyDescent="0.25">
      <c r="A21">
        <v>20</v>
      </c>
      <c r="B21">
        <v>164</v>
      </c>
      <c r="C21">
        <v>0.21008933513051631</v>
      </c>
      <c r="D21">
        <v>1.480690123503039</v>
      </c>
      <c r="E21">
        <v>489.01217629562984</v>
      </c>
      <c r="F21">
        <v>0.21008933513051631</v>
      </c>
      <c r="G21">
        <v>489.01217629562984</v>
      </c>
      <c r="H21">
        <v>1.4806901235030385</v>
      </c>
      <c r="I21">
        <v>8.0740775778247426E-2</v>
      </c>
      <c r="J21">
        <v>0.55463034476044282</v>
      </c>
      <c r="K21">
        <v>0.24370427580835421</v>
      </c>
      <c r="L21">
        <v>7.0000000000000007E-2</v>
      </c>
      <c r="M21">
        <v>4.3400000000000001E-2</v>
      </c>
      <c r="N21">
        <v>3.1500000000000007E-2</v>
      </c>
      <c r="O21">
        <v>7.0000000000000007E-2</v>
      </c>
      <c r="P21">
        <v>34.230852340694092</v>
      </c>
      <c r="Q21">
        <v>32.830852340694086</v>
      </c>
      <c r="R21">
        <v>0</v>
      </c>
      <c r="S21">
        <v>0</v>
      </c>
      <c r="T21">
        <v>0.20546975587122054</v>
      </c>
      <c r="U21">
        <v>0.21601089266447376</v>
      </c>
      <c r="V21">
        <v>0.22952808728091809</v>
      </c>
      <c r="W21">
        <v>0.2</v>
      </c>
      <c r="X21">
        <v>300.47988895288211</v>
      </c>
      <c r="Y21">
        <v>33.502373858236034</v>
      </c>
      <c r="Z21">
        <v>25</v>
      </c>
      <c r="AA21">
        <v>0</v>
      </c>
      <c r="AB21">
        <v>358.98226281111812</v>
      </c>
      <c r="AC21">
        <v>4.3745129328950876</v>
      </c>
    </row>
    <row r="22" spans="1:29" x14ac:dyDescent="0.25">
      <c r="A22">
        <v>21</v>
      </c>
      <c r="B22">
        <v>165</v>
      </c>
      <c r="C22">
        <v>0.23669617906127693</v>
      </c>
      <c r="D22">
        <v>1.7636364487438301</v>
      </c>
      <c r="E22">
        <v>557.97752305860502</v>
      </c>
      <c r="F22">
        <v>0.23669617906127693</v>
      </c>
      <c r="G22">
        <v>557.97752305860502</v>
      </c>
      <c r="H22">
        <v>1.7636364487438299</v>
      </c>
      <c r="I22">
        <v>6.6114698234975497E-2</v>
      </c>
      <c r="J22">
        <v>0.59726951772640535</v>
      </c>
      <c r="K22">
        <v>0.27781561418112427</v>
      </c>
      <c r="L22">
        <v>7.0000000000000007E-2</v>
      </c>
      <c r="M22">
        <v>4.3400000000000001E-2</v>
      </c>
      <c r="N22">
        <v>3.1500000000000007E-2</v>
      </c>
      <c r="O22">
        <v>7.0000000000000007E-2</v>
      </c>
      <c r="P22">
        <v>39.058426614102359</v>
      </c>
      <c r="Q22">
        <v>37.658426614102353</v>
      </c>
      <c r="R22">
        <v>0</v>
      </c>
      <c r="S22">
        <v>0</v>
      </c>
      <c r="T22">
        <v>0.22692084162834775</v>
      </c>
      <c r="U22">
        <v>0.21257968400956373</v>
      </c>
      <c r="V22">
        <v>0.22943202303834048</v>
      </c>
      <c r="W22">
        <v>0.2</v>
      </c>
      <c r="X22">
        <v>295.86288170234457</v>
      </c>
      <c r="Y22">
        <v>33.501760044308007</v>
      </c>
      <c r="Z22">
        <v>25</v>
      </c>
      <c r="AA22">
        <v>0</v>
      </c>
      <c r="AB22">
        <v>354.36464174665258</v>
      </c>
      <c r="AC22">
        <v>4.8275742734082669</v>
      </c>
    </row>
    <row r="23" spans="1:29" x14ac:dyDescent="0.25">
      <c r="A23">
        <v>22</v>
      </c>
      <c r="B23">
        <v>166</v>
      </c>
      <c r="C23">
        <v>0.26549975969351641</v>
      </c>
      <c r="D23">
        <v>2.136870606245473</v>
      </c>
      <c r="E23">
        <v>632.73152115187486</v>
      </c>
      <c r="F23">
        <v>0.26549975969351641</v>
      </c>
      <c r="G23">
        <v>632.73152115187486</v>
      </c>
      <c r="H23">
        <v>2.1368706062454725</v>
      </c>
      <c r="I23">
        <v>5.697651000608038E-2</v>
      </c>
      <c r="J23">
        <v>0.6434291020729429</v>
      </c>
      <c r="K23">
        <v>0.31474328165835436</v>
      </c>
      <c r="L23">
        <v>7.0000000000000007E-2</v>
      </c>
      <c r="M23">
        <v>4.3400000000000001E-2</v>
      </c>
      <c r="N23">
        <v>3.0886970432400136E-2</v>
      </c>
      <c r="O23">
        <v>7.0000000000000007E-2</v>
      </c>
      <c r="P23">
        <v>44.291206480631239</v>
      </c>
      <c r="Q23">
        <v>42.891206480631233</v>
      </c>
      <c r="R23">
        <v>0</v>
      </c>
      <c r="S23">
        <v>0</v>
      </c>
      <c r="T23">
        <v>0.25114827757969521</v>
      </c>
      <c r="U23">
        <v>0.20852499249269313</v>
      </c>
      <c r="V23">
        <v>0.22921297334272012</v>
      </c>
      <c r="W23">
        <v>0.2</v>
      </c>
      <c r="X23">
        <v>290.88552965016186</v>
      </c>
      <c r="Y23">
        <v>33.490652702866747</v>
      </c>
      <c r="Z23">
        <v>25</v>
      </c>
      <c r="AA23">
        <v>0</v>
      </c>
      <c r="AB23">
        <v>349.37618235302858</v>
      </c>
      <c r="AC23">
        <v>5.2327798665288823</v>
      </c>
    </row>
    <row r="24" spans="1:29" x14ac:dyDescent="0.25">
      <c r="A24">
        <v>23</v>
      </c>
      <c r="B24">
        <v>167</v>
      </c>
      <c r="C24">
        <v>0.29628258946141001</v>
      </c>
      <c r="D24">
        <v>1.8494532083533044</v>
      </c>
      <c r="E24">
        <v>710.94446328167203</v>
      </c>
      <c r="F24">
        <v>0.29628258946141001</v>
      </c>
      <c r="G24">
        <v>710.94446328167203</v>
      </c>
      <c r="H24">
        <v>1.8494532083533042</v>
      </c>
      <c r="I24">
        <v>3.4054733469519941E-2</v>
      </c>
      <c r="J24">
        <v>0.69276056003431086</v>
      </c>
      <c r="K24">
        <v>0.35420844802744872</v>
      </c>
      <c r="L24">
        <v>7.0000000000000007E-2</v>
      </c>
      <c r="M24">
        <v>4.3400000000000001E-2</v>
      </c>
      <c r="N24">
        <v>2.9583347581861544E-2</v>
      </c>
      <c r="O24">
        <v>7.0000000000000007E-2</v>
      </c>
      <c r="P24">
        <v>49.766112429717047</v>
      </c>
      <c r="Q24">
        <v>48.366112429717049</v>
      </c>
      <c r="R24">
        <v>0</v>
      </c>
      <c r="S24">
        <v>0</v>
      </c>
      <c r="T24">
        <v>0.2672205582264997</v>
      </c>
      <c r="U24">
        <v>0.20512717341659537</v>
      </c>
      <c r="V24">
        <v>0.22891188600211126</v>
      </c>
      <c r="W24">
        <v>0.2</v>
      </c>
      <c r="X24">
        <v>285.68037428436907</v>
      </c>
      <c r="Y24">
        <v>33.458076329174474</v>
      </c>
      <c r="Z24">
        <v>25</v>
      </c>
      <c r="AA24">
        <v>0</v>
      </c>
      <c r="AB24">
        <v>344.13845061354357</v>
      </c>
      <c r="AC24">
        <v>5.4749059490858105</v>
      </c>
    </row>
    <row r="25" spans="1:29" x14ac:dyDescent="0.25">
      <c r="A25">
        <v>24</v>
      </c>
      <c r="B25">
        <v>168</v>
      </c>
      <c r="C25">
        <v>0.32873134048963809</v>
      </c>
      <c r="D25">
        <v>1.7868142990172839</v>
      </c>
      <c r="E25">
        <v>802.24177909168498</v>
      </c>
      <c r="F25">
        <v>0.32873134048963809</v>
      </c>
      <c r="G25">
        <v>802.24177909168498</v>
      </c>
      <c r="H25">
        <v>1.7868142990172837</v>
      </c>
      <c r="I25">
        <v>2.4798109617748854E-2</v>
      </c>
      <c r="J25">
        <v>0.7447617636051892</v>
      </c>
      <c r="K25">
        <v>0.39580941088415139</v>
      </c>
      <c r="L25">
        <v>7.0000000000000007E-2</v>
      </c>
      <c r="M25">
        <v>4.3400000000000001E-2</v>
      </c>
      <c r="N25">
        <v>2.8290040196658938E-2</v>
      </c>
      <c r="O25">
        <v>7.0000000000000007E-2</v>
      </c>
      <c r="P25">
        <v>56.156924536417954</v>
      </c>
      <c r="Q25">
        <v>54.756924536417948</v>
      </c>
      <c r="R25">
        <v>0</v>
      </c>
      <c r="S25">
        <v>0</v>
      </c>
      <c r="T25">
        <v>0.28202521980024597</v>
      </c>
      <c r="U25">
        <v>0.20195898660232253</v>
      </c>
      <c r="V25">
        <v>0.22850644421834954</v>
      </c>
      <c r="W25">
        <v>0.2</v>
      </c>
      <c r="X25">
        <v>279.57489228523769</v>
      </c>
      <c r="Y25">
        <v>33.386294510505643</v>
      </c>
      <c r="Z25">
        <v>25</v>
      </c>
      <c r="AA25">
        <v>0</v>
      </c>
      <c r="AB25">
        <v>337.96118679574334</v>
      </c>
      <c r="AC25">
        <v>6.3908121067009045</v>
      </c>
    </row>
    <row r="26" spans="1:29" x14ac:dyDescent="0.25">
      <c r="A26">
        <v>25</v>
      </c>
      <c r="B26">
        <v>169</v>
      </c>
      <c r="C26">
        <v>0.36244406989035483</v>
      </c>
      <c r="D26">
        <v>2.434864218783229</v>
      </c>
      <c r="E26">
        <v>914.20323426965547</v>
      </c>
      <c r="F26">
        <v>0.36244406989035483</v>
      </c>
      <c r="G26">
        <v>914.20323426965547</v>
      </c>
      <c r="H26">
        <v>2.4348642187832286</v>
      </c>
      <c r="I26">
        <v>2.7307312079926902E-2</v>
      </c>
      <c r="J26">
        <v>0.79878857354223531</v>
      </c>
      <c r="K26">
        <v>0.43903085883378823</v>
      </c>
      <c r="L26">
        <v>7.0000000000000007E-2</v>
      </c>
      <c r="M26">
        <v>4.3400000000000001E-2</v>
      </c>
      <c r="N26">
        <v>2.6955084503704291E-2</v>
      </c>
      <c r="O26">
        <v>7.0000000000000007E-2</v>
      </c>
      <c r="P26">
        <v>63.994226398875895</v>
      </c>
      <c r="Q26">
        <v>62.594226398875882</v>
      </c>
      <c r="R26">
        <v>0</v>
      </c>
      <c r="S26">
        <v>0</v>
      </c>
      <c r="T26">
        <v>0.30866508332176606</v>
      </c>
      <c r="U26">
        <v>0.19778134067653821</v>
      </c>
      <c r="V26">
        <v>0.22781436170656741</v>
      </c>
      <c r="W26">
        <v>0.2</v>
      </c>
      <c r="X26">
        <v>272.02598655471644</v>
      </c>
      <c r="Y26">
        <v>33.258830023424494</v>
      </c>
      <c r="Z26">
        <v>25</v>
      </c>
      <c r="AA26">
        <v>0</v>
      </c>
      <c r="AB26">
        <v>330.28481657814092</v>
      </c>
      <c r="AC26">
        <v>7.8373018624579291</v>
      </c>
    </row>
    <row r="27" spans="1:29" x14ac:dyDescent="0.25">
      <c r="A27">
        <v>26</v>
      </c>
      <c r="B27">
        <v>170</v>
      </c>
      <c r="C27">
        <v>0.39694676442446919</v>
      </c>
      <c r="D27">
        <v>2.7489412442646532</v>
      </c>
      <c r="E27">
        <v>1037.2479216737909</v>
      </c>
      <c r="F27">
        <v>0.39694676442446919</v>
      </c>
      <c r="G27">
        <v>1037.2479216737909</v>
      </c>
      <c r="H27">
        <v>2.7489412442646532</v>
      </c>
      <c r="I27">
        <v>5.3312483415193811E-2</v>
      </c>
      <c r="J27">
        <v>0.85408135324434165</v>
      </c>
      <c r="K27">
        <v>0.48326508259547329</v>
      </c>
      <c r="L27">
        <v>7.0000000000000007E-2</v>
      </c>
      <c r="M27">
        <v>4.3400000000000001E-2</v>
      </c>
      <c r="N27">
        <v>2.5724679005407574E-2</v>
      </c>
      <c r="O27">
        <v>7.0000000000000007E-2</v>
      </c>
      <c r="P27">
        <v>72.607354517165362</v>
      </c>
      <c r="Q27">
        <v>71.207354517165356</v>
      </c>
      <c r="R27">
        <v>0</v>
      </c>
      <c r="S27">
        <v>0</v>
      </c>
      <c r="T27">
        <v>0.3419335393959006</v>
      </c>
      <c r="U27">
        <v>0.19319739676346209</v>
      </c>
      <c r="V27">
        <v>0.22690042313111419</v>
      </c>
      <c r="W27">
        <v>0.2</v>
      </c>
      <c r="X27">
        <v>263.71872728631956</v>
      </c>
      <c r="Y27">
        <v>33.081105045224255</v>
      </c>
      <c r="Z27">
        <v>25</v>
      </c>
      <c r="AA27">
        <v>0</v>
      </c>
      <c r="AB27">
        <v>321.79983233154383</v>
      </c>
      <c r="AC27">
        <v>8.6131281182894739</v>
      </c>
    </row>
    <row r="28" spans="1:29" x14ac:dyDescent="0.25">
      <c r="A28">
        <v>27</v>
      </c>
      <c r="B28">
        <v>171</v>
      </c>
      <c r="C28">
        <v>0.43171825287535975</v>
      </c>
      <c r="D28">
        <v>2.8270844186827109</v>
      </c>
      <c r="E28">
        <v>1161.9458268983064</v>
      </c>
      <c r="F28">
        <v>0.43171825287535975</v>
      </c>
      <c r="G28">
        <v>1161.9458268983064</v>
      </c>
      <c r="H28">
        <v>2.8270844186827109</v>
      </c>
      <c r="I28">
        <v>3.8590450890670668E-2</v>
      </c>
      <c r="J28">
        <v>0.90980489242846108</v>
      </c>
      <c r="K28">
        <v>0.52784391394276886</v>
      </c>
      <c r="L28">
        <v>7.0000000000000007E-2</v>
      </c>
      <c r="M28">
        <v>4.3400000000000001E-2</v>
      </c>
      <c r="N28">
        <v>2.4666511930584573E-2</v>
      </c>
      <c r="O28">
        <v>7.0000000000000007E-2</v>
      </c>
      <c r="P28">
        <v>81.336207882881453</v>
      </c>
      <c r="Q28">
        <v>79.936207882881448</v>
      </c>
      <c r="R28">
        <v>0</v>
      </c>
      <c r="S28">
        <v>0</v>
      </c>
      <c r="T28">
        <v>0.37865917258524312</v>
      </c>
      <c r="U28">
        <v>0.18856852526926524</v>
      </c>
      <c r="V28">
        <v>0.22587512578794566</v>
      </c>
      <c r="W28">
        <v>0.2</v>
      </c>
      <c r="X28">
        <v>255.33613464945492</v>
      </c>
      <c r="Y28">
        <v>32.867966235410009</v>
      </c>
      <c r="Z28">
        <v>25</v>
      </c>
      <c r="AA28">
        <v>0</v>
      </c>
      <c r="AB28">
        <v>313.20410088486494</v>
      </c>
      <c r="AC28">
        <v>8.7288533657160947</v>
      </c>
    </row>
    <row r="29" spans="1:29" x14ac:dyDescent="0.25">
      <c r="A29">
        <v>28</v>
      </c>
      <c r="B29">
        <v>172</v>
      </c>
      <c r="C29">
        <v>0.46622094740947428</v>
      </c>
      <c r="D29">
        <v>2.7509880685592978</v>
      </c>
      <c r="E29">
        <v>1292.9671114819741</v>
      </c>
      <c r="F29">
        <v>0.46622094740947428</v>
      </c>
      <c r="G29">
        <v>1292.9671114819741</v>
      </c>
      <c r="H29">
        <v>2.7509880685592978</v>
      </c>
      <c r="I29">
        <v>3.0213195870128003E-2</v>
      </c>
      <c r="J29">
        <v>0.96509767213056774</v>
      </c>
      <c r="K29">
        <v>0.57207813770445415</v>
      </c>
      <c r="L29">
        <v>7.0000000000000007E-2</v>
      </c>
      <c r="M29">
        <v>4.3400000000000001E-2</v>
      </c>
      <c r="N29">
        <v>2.3710414677597675E-2</v>
      </c>
      <c r="O29">
        <v>6.9994822205449059E-2</v>
      </c>
      <c r="P29">
        <v>90.501003085673801</v>
      </c>
      <c r="Q29">
        <v>89.101003085673796</v>
      </c>
      <c r="R29">
        <v>0</v>
      </c>
      <c r="S29">
        <v>0</v>
      </c>
      <c r="T29">
        <v>0.41570130706197433</v>
      </c>
      <c r="U29">
        <v>0.18410072674043315</v>
      </c>
      <c r="V29">
        <v>0.22484094817965916</v>
      </c>
      <c r="W29">
        <v>0.2</v>
      </c>
      <c r="X29">
        <v>246.57549556735117</v>
      </c>
      <c r="Y29">
        <v>32.604148172523729</v>
      </c>
      <c r="Z29">
        <v>25</v>
      </c>
      <c r="AA29">
        <v>0</v>
      </c>
      <c r="AB29">
        <v>304.1796437398749</v>
      </c>
      <c r="AC29">
        <v>9.1647952027923409</v>
      </c>
    </row>
    <row r="30" spans="1:29" x14ac:dyDescent="0.25">
      <c r="A30">
        <v>29</v>
      </c>
      <c r="B30">
        <v>173</v>
      </c>
      <c r="C30">
        <v>0.49993367681019102</v>
      </c>
      <c r="D30">
        <v>2.5985230814013187</v>
      </c>
      <c r="E30">
        <v>1426.0267856711473</v>
      </c>
      <c r="F30">
        <v>0.49993367681019102</v>
      </c>
      <c r="G30">
        <v>1426.0267856711473</v>
      </c>
      <c r="H30">
        <v>2.5985230814013209</v>
      </c>
      <c r="I30">
        <v>2.0685012359749413E-2</v>
      </c>
      <c r="J30">
        <v>1.0191244820676137</v>
      </c>
      <c r="K30">
        <v>0.61529958565409104</v>
      </c>
      <c r="L30">
        <v>7.0000000000000007E-2</v>
      </c>
      <c r="M30">
        <v>4.3400000000000001E-2</v>
      </c>
      <c r="N30">
        <v>2.286647778658055E-2</v>
      </c>
      <c r="O30">
        <v>6.9866139375154609E-2</v>
      </c>
      <c r="P30">
        <v>99.630986160404092</v>
      </c>
      <c r="Q30">
        <v>98.230986160404086</v>
      </c>
      <c r="R30">
        <v>0</v>
      </c>
      <c r="S30">
        <v>0</v>
      </c>
      <c r="T30">
        <v>0.45138573390823655</v>
      </c>
      <c r="U30">
        <v>0.17987314847770297</v>
      </c>
      <c r="V30">
        <v>0.22386917641026138</v>
      </c>
      <c r="W30">
        <v>0.20000230386932527</v>
      </c>
      <c r="X30">
        <v>237.83245011724199</v>
      </c>
      <c r="Y30">
        <v>32.325217031537576</v>
      </c>
      <c r="Z30">
        <v>25</v>
      </c>
      <c r="AA30">
        <v>0</v>
      </c>
      <c r="AB30">
        <v>295.15766714877958</v>
      </c>
      <c r="AC30">
        <v>9.1299830747302959</v>
      </c>
    </row>
    <row r="31" spans="1:29" x14ac:dyDescent="0.25">
      <c r="A31">
        <v>30</v>
      </c>
      <c r="B31">
        <v>174</v>
      </c>
      <c r="C31">
        <v>0.53238242783841905</v>
      </c>
      <c r="D31">
        <v>3.4783284411824793</v>
      </c>
      <c r="E31">
        <v>1587.4369849994982</v>
      </c>
      <c r="F31">
        <v>0.53238242783841905</v>
      </c>
      <c r="G31">
        <v>1587.4369849994982</v>
      </c>
      <c r="H31">
        <v>3.4783284411824789</v>
      </c>
      <c r="I31">
        <v>2.3426089773600819E-2</v>
      </c>
      <c r="J31">
        <v>1.0711256856384921</v>
      </c>
      <c r="K31">
        <v>0.6569005485107936</v>
      </c>
      <c r="L31">
        <v>7.0000000000000007E-2</v>
      </c>
      <c r="M31">
        <v>4.2499692949995629E-2</v>
      </c>
      <c r="N31">
        <v>2.1977020508638402E-2</v>
      </c>
      <c r="O31">
        <v>6.9912700840096806E-2</v>
      </c>
      <c r="P31">
        <v>110.98200703477515</v>
      </c>
      <c r="Q31">
        <v>109.58200703477513</v>
      </c>
      <c r="R31">
        <v>0</v>
      </c>
      <c r="S31">
        <v>0</v>
      </c>
      <c r="T31">
        <v>0.49557849283342353</v>
      </c>
      <c r="U31">
        <v>0.17436725153090984</v>
      </c>
      <c r="V31">
        <v>0.22239409657852635</v>
      </c>
      <c r="W31">
        <v>0.20002662376548849</v>
      </c>
      <c r="X31">
        <v>226.99562124088229</v>
      </c>
      <c r="Y31">
        <v>31.938241893495508</v>
      </c>
      <c r="Z31">
        <v>25</v>
      </c>
      <c r="AA31">
        <v>0</v>
      </c>
      <c r="AB31">
        <v>283.93386313437782</v>
      </c>
      <c r="AC31">
        <v>11.35102087437105</v>
      </c>
    </row>
    <row r="32" spans="1:29" x14ac:dyDescent="0.25">
      <c r="A32">
        <v>31</v>
      </c>
      <c r="B32">
        <v>175</v>
      </c>
      <c r="C32">
        <v>0.56316525760631264</v>
      </c>
      <c r="D32">
        <v>3.8600155592533207</v>
      </c>
      <c r="E32">
        <v>1748.1208332757521</v>
      </c>
      <c r="F32">
        <v>0.56316525760631264</v>
      </c>
      <c r="G32">
        <v>1748.1208332757521</v>
      </c>
      <c r="H32">
        <v>3.8600155592533212</v>
      </c>
      <c r="I32">
        <v>1.9532796897839176E-2</v>
      </c>
      <c r="J32">
        <v>1.12045714359986</v>
      </c>
      <c r="K32">
        <v>0.69636571487988796</v>
      </c>
      <c r="L32">
        <v>7.0000000000000007E-2</v>
      </c>
      <c r="M32">
        <v>4.1010216253374768E-2</v>
      </c>
      <c r="N32">
        <v>2.1206797063793983E-2</v>
      </c>
      <c r="O32">
        <v>6.9954921676837187E-2</v>
      </c>
      <c r="P32">
        <v>122.2896559734526</v>
      </c>
      <c r="Q32">
        <v>120.88965597345259</v>
      </c>
      <c r="R32">
        <v>0</v>
      </c>
      <c r="S32">
        <v>0</v>
      </c>
      <c r="T32">
        <v>0.54185181916435499</v>
      </c>
      <c r="U32">
        <v>0.16838226893521113</v>
      </c>
      <c r="V32">
        <v>0.22060005031464938</v>
      </c>
      <c r="W32">
        <v>0.20008562150655754</v>
      </c>
      <c r="X32">
        <v>59.087208156595175</v>
      </c>
      <c r="Y32">
        <v>170.45398530862767</v>
      </c>
      <c r="Z32">
        <v>43.231182729153396</v>
      </c>
      <c r="AA32">
        <v>0</v>
      </c>
      <c r="AB32">
        <v>272.77237619437625</v>
      </c>
      <c r="AC32">
        <v>11.307648938677449</v>
      </c>
    </row>
    <row r="33" spans="1:30" x14ac:dyDescent="0.25">
      <c r="A33">
        <v>32</v>
      </c>
      <c r="B33">
        <v>176</v>
      </c>
      <c r="C33">
        <v>0.59196883823855206</v>
      </c>
      <c r="D33">
        <v>4.221336142302162</v>
      </c>
      <c r="E33">
        <v>1906.9746134724087</v>
      </c>
      <c r="F33">
        <v>0.59196883823855206</v>
      </c>
      <c r="G33">
        <v>1906.9746134724087</v>
      </c>
      <c r="H33">
        <v>4.2213361423021629</v>
      </c>
      <c r="I33">
        <v>1.8734129326481443</v>
      </c>
      <c r="J33">
        <v>1.1666167279463975</v>
      </c>
      <c r="K33">
        <v>0.73329338235711794</v>
      </c>
      <c r="L33">
        <v>7.0000000000000007E-2</v>
      </c>
      <c r="M33">
        <v>3.9711462176626508E-2</v>
      </c>
      <c r="N33">
        <v>2.0535198212151523E-2</v>
      </c>
      <c r="O33">
        <v>6.8603731826676714E-2</v>
      </c>
      <c r="P33">
        <v>130.82557498294162</v>
      </c>
      <c r="Q33">
        <v>129.42557498294161</v>
      </c>
      <c r="R33">
        <v>0</v>
      </c>
      <c r="S33">
        <v>0</v>
      </c>
      <c r="T33">
        <v>3.8701700956683661E-2</v>
      </c>
      <c r="U33">
        <v>0.22946443106903427</v>
      </c>
      <c r="V33">
        <v>0.30431355950982997</v>
      </c>
      <c r="W33">
        <v>0.28706970051281144</v>
      </c>
      <c r="X33">
        <v>56.627598492184326</v>
      </c>
      <c r="Y33">
        <v>164.69342367756741</v>
      </c>
      <c r="Z33">
        <v>43.153168979329621</v>
      </c>
      <c r="AA33">
        <v>0</v>
      </c>
      <c r="AB33">
        <v>264.47419114908138</v>
      </c>
      <c r="AC33">
        <v>8.5359190094890138</v>
      </c>
    </row>
    <row r="34" spans="1:30" x14ac:dyDescent="0.25">
      <c r="A34">
        <v>33</v>
      </c>
      <c r="B34">
        <v>177</v>
      </c>
      <c r="C34">
        <v>0.61857568216931269</v>
      </c>
      <c r="D34">
        <v>4.4875133942532761</v>
      </c>
      <c r="E34">
        <v>2102.0581795261355</v>
      </c>
      <c r="F34">
        <v>0.61857568216931269</v>
      </c>
      <c r="G34">
        <v>2102.0581795261355</v>
      </c>
      <c r="H34">
        <v>4.4875133942532761</v>
      </c>
      <c r="I34">
        <v>1.723651545414459</v>
      </c>
      <c r="J34">
        <v>1.20925590091236</v>
      </c>
      <c r="K34">
        <v>0.76740472072988797</v>
      </c>
      <c r="L34">
        <v>6.8722759135134343E-2</v>
      </c>
      <c r="M34">
        <v>3.8305835960047663E-2</v>
      </c>
      <c r="N34">
        <v>1.9808334697500263E-2</v>
      </c>
      <c r="O34">
        <v>6.700805929749018E-2</v>
      </c>
      <c r="P34">
        <v>140.85483914046154</v>
      </c>
      <c r="Q34">
        <v>139.45483914046153</v>
      </c>
      <c r="R34">
        <v>0</v>
      </c>
      <c r="S34">
        <v>0</v>
      </c>
      <c r="T34">
        <v>7.756432887581062E-2</v>
      </c>
      <c r="U34">
        <v>0.22355379517939772</v>
      </c>
      <c r="V34">
        <v>0.30151490198250575</v>
      </c>
      <c r="W34">
        <v>0.28680396714126566</v>
      </c>
      <c r="X34">
        <v>53.740958765533286</v>
      </c>
      <c r="Y34">
        <v>157.85143938071641</v>
      </c>
      <c r="Z34">
        <v>43.04953156892774</v>
      </c>
      <c r="AA34">
        <v>0</v>
      </c>
      <c r="AB34">
        <v>254.64192971517744</v>
      </c>
      <c r="AC34">
        <v>10.029264157519931</v>
      </c>
    </row>
    <row r="35" spans="1:30" x14ac:dyDescent="0.25">
      <c r="A35">
        <v>34</v>
      </c>
      <c r="B35">
        <v>178</v>
      </c>
      <c r="C35">
        <v>0.64286263735289195</v>
      </c>
      <c r="D35">
        <v>3.8979139266584171</v>
      </c>
      <c r="E35">
        <v>2283.0567322983716</v>
      </c>
      <c r="F35">
        <v>0.64286263735289195</v>
      </c>
      <c r="G35">
        <v>2283.0567322983716</v>
      </c>
      <c r="H35">
        <v>3.8979139266584162</v>
      </c>
      <c r="I35">
        <v>1.0784459847604726</v>
      </c>
      <c r="J35">
        <v>1.2481773034501473</v>
      </c>
      <c r="K35">
        <v>0.79854184276011786</v>
      </c>
      <c r="L35">
        <v>6.6654267195844427E-2</v>
      </c>
      <c r="M35">
        <v>3.7152865475330733E-2</v>
      </c>
      <c r="N35">
        <v>1.9212122013839424E-2</v>
      </c>
      <c r="O35">
        <v>6.5278875152748342E-2</v>
      </c>
      <c r="P35">
        <v>149.03537539434697</v>
      </c>
      <c r="Q35">
        <v>147.63537539434694</v>
      </c>
      <c r="R35">
        <v>0</v>
      </c>
      <c r="S35">
        <v>0</v>
      </c>
      <c r="T35">
        <v>0.10949060591118864</v>
      </c>
      <c r="U35">
        <v>0.21854291350146027</v>
      </c>
      <c r="V35">
        <v>0.29903618633489698</v>
      </c>
      <c r="W35">
        <v>0.28649773661349498</v>
      </c>
      <c r="X35">
        <v>51.444418594674076</v>
      </c>
      <c r="Y35">
        <v>152.24686137303053</v>
      </c>
      <c r="Z35">
        <v>42.945753977424516</v>
      </c>
      <c r="AA35">
        <v>0</v>
      </c>
      <c r="AB35">
        <v>246.63703394512913</v>
      </c>
      <c r="AC35">
        <v>8.1805362538854212</v>
      </c>
    </row>
    <row r="36" spans="1:30" s="113" customFormat="1" x14ac:dyDescent="0.25">
      <c r="A36">
        <v>35</v>
      </c>
      <c r="B36">
        <v>179</v>
      </c>
      <c r="C36">
        <v>0.66479238841115873</v>
      </c>
      <c r="D36">
        <v>4.2904237875357234</v>
      </c>
      <c r="E36">
        <v>2474.4512468983071</v>
      </c>
      <c r="F36">
        <v>0.66479238841115873</v>
      </c>
      <c r="G36">
        <v>2474.4512468983071</v>
      </c>
      <c r="H36">
        <v>4.2904237875357225</v>
      </c>
      <c r="I36">
        <v>1.1233556289693694</v>
      </c>
      <c r="J36">
        <v>1.2833211352742928</v>
      </c>
      <c r="K36">
        <v>0.82665690821943427</v>
      </c>
      <c r="L36">
        <v>6.4698162270156609E-2</v>
      </c>
      <c r="M36">
        <v>3.6062539135890567E-2</v>
      </c>
      <c r="N36">
        <v>1.8648303250462038E-2</v>
      </c>
      <c r="O36">
        <v>6.3448007882802374E-2</v>
      </c>
      <c r="P36">
        <v>156.99900221881396</v>
      </c>
      <c r="Q36">
        <v>155.59900221881392</v>
      </c>
      <c r="R36">
        <v>0</v>
      </c>
      <c r="S36">
        <v>0</v>
      </c>
      <c r="T36">
        <v>0.14332040214981834</v>
      </c>
      <c r="U36">
        <v>0.21315174042741555</v>
      </c>
      <c r="V36">
        <v>0.29626487784704542</v>
      </c>
      <c r="W36">
        <v>0.28607937060031985</v>
      </c>
      <c r="X36">
        <v>49.278361566171682</v>
      </c>
      <c r="Y36">
        <v>146.79776321232634</v>
      </c>
      <c r="Z36">
        <v>42.819398168834923</v>
      </c>
      <c r="AA36">
        <v>0</v>
      </c>
      <c r="AB36">
        <v>238.89552294733295</v>
      </c>
      <c r="AC36">
        <v>7.9636268244669823</v>
      </c>
      <c r="AD36"/>
    </row>
    <row r="37" spans="1:30" x14ac:dyDescent="0.25">
      <c r="A37">
        <v>36</v>
      </c>
      <c r="B37">
        <v>180</v>
      </c>
      <c r="C37">
        <v>0.6844002859739089</v>
      </c>
      <c r="D37">
        <v>4.110344925894819</v>
      </c>
      <c r="E37">
        <v>2681.7678206318064</v>
      </c>
      <c r="F37">
        <v>0.6844002859739089</v>
      </c>
      <c r="G37">
        <v>2681.7678206318064</v>
      </c>
      <c r="H37">
        <v>4.110344925894819</v>
      </c>
      <c r="I37">
        <v>0.77388583273607048</v>
      </c>
      <c r="J37">
        <v>1.3147440480351102</v>
      </c>
      <c r="K37">
        <v>0.85179523842808824</v>
      </c>
      <c r="L37">
        <v>6.2800529222957341E-2</v>
      </c>
      <c r="M37">
        <v>3.5004804825842797E-2</v>
      </c>
      <c r="N37">
        <v>1.8101338154691556E-2</v>
      </c>
      <c r="O37">
        <v>6.1503615577854727E-2</v>
      </c>
      <c r="P37">
        <v>164.93841710919989</v>
      </c>
      <c r="Q37">
        <v>163.53841710919988</v>
      </c>
      <c r="R37">
        <v>0</v>
      </c>
      <c r="S37">
        <v>0</v>
      </c>
      <c r="T37">
        <v>0.1746255326458053</v>
      </c>
      <c r="U37">
        <v>0.20809246807777151</v>
      </c>
      <c r="V37">
        <v>0.2935764851412761</v>
      </c>
      <c r="W37">
        <v>0.28560634580394362</v>
      </c>
      <c r="X37">
        <v>47.160837017270488</v>
      </c>
      <c r="Y37">
        <v>141.30041701717295</v>
      </c>
      <c r="Z37">
        <v>42.684297186046038</v>
      </c>
      <c r="AA37">
        <v>0</v>
      </c>
      <c r="AB37">
        <v>231.14555122048947</v>
      </c>
      <c r="AC37">
        <v>7.9394148903859376</v>
      </c>
    </row>
    <row r="38" spans="1:30" x14ac:dyDescent="0.25">
      <c r="A38">
        <v>37</v>
      </c>
      <c r="B38">
        <v>181</v>
      </c>
      <c r="C38">
        <v>0.70177887302874431</v>
      </c>
      <c r="D38">
        <v>4.1488533084871273</v>
      </c>
      <c r="E38">
        <v>2873.4074204372982</v>
      </c>
      <c r="F38">
        <v>0.70177887302874431</v>
      </c>
      <c r="G38">
        <v>2873.4074204372982</v>
      </c>
      <c r="H38">
        <v>4.1488533084871264</v>
      </c>
      <c r="I38">
        <v>0.76481867912148604</v>
      </c>
      <c r="J38">
        <v>1.3425943478024749</v>
      </c>
      <c r="K38">
        <v>0.87407547824197984</v>
      </c>
      <c r="L38">
        <v>6.1217018090549372E-2</v>
      </c>
      <c r="M38">
        <v>3.4122161019885397E-2</v>
      </c>
      <c r="N38">
        <v>1.7644914127153955E-2</v>
      </c>
      <c r="O38">
        <v>6.0013293280850546E-2</v>
      </c>
      <c r="P38">
        <v>172.44264223807582</v>
      </c>
      <c r="Q38">
        <v>171.04264223807581</v>
      </c>
      <c r="R38">
        <v>0</v>
      </c>
      <c r="S38">
        <v>0</v>
      </c>
      <c r="T38">
        <v>0.20611069875324028</v>
      </c>
      <c r="U38">
        <v>0.20307403535532464</v>
      </c>
      <c r="V38">
        <v>0.29082966607362276</v>
      </c>
      <c r="W38">
        <v>0.28507389097706959</v>
      </c>
      <c r="X38">
        <v>45.236977445555944</v>
      </c>
      <c r="Y38">
        <v>136.08837444780872</v>
      </c>
      <c r="Z38">
        <v>42.538156706396251</v>
      </c>
      <c r="AA38">
        <v>0</v>
      </c>
      <c r="AB38">
        <v>223.86350859976091</v>
      </c>
      <c r="AC38">
        <v>7.504225128875941</v>
      </c>
    </row>
    <row r="39" spans="1:30" x14ac:dyDescent="0.25">
      <c r="A39">
        <v>38</v>
      </c>
      <c r="B39">
        <v>182</v>
      </c>
      <c r="C39">
        <v>0.71706213086419912</v>
      </c>
      <c r="D39">
        <v>4.5560916504875406</v>
      </c>
      <c r="E39">
        <v>3091.3480990995345</v>
      </c>
      <c r="F39">
        <v>0.71706213086419912</v>
      </c>
      <c r="G39">
        <v>3091.3480990995345</v>
      </c>
      <c r="H39">
        <v>4.5560916504875406</v>
      </c>
      <c r="I39">
        <v>0.68589433809639089</v>
      </c>
      <c r="J39">
        <v>1.3670867481798061</v>
      </c>
      <c r="K39">
        <v>0.89366939854384497</v>
      </c>
      <c r="L39">
        <v>5.9583280581063235E-2</v>
      </c>
      <c r="M39">
        <v>3.3211521199428037E-2</v>
      </c>
      <c r="N39">
        <v>1.7174013077734109E-2</v>
      </c>
      <c r="O39">
        <v>5.8331795485489321E-2</v>
      </c>
      <c r="P39">
        <v>180.32388509113022</v>
      </c>
      <c r="Q39">
        <v>178.92388509113022</v>
      </c>
      <c r="R39">
        <v>0</v>
      </c>
      <c r="S39">
        <v>0</v>
      </c>
      <c r="T39">
        <v>0.24060793850091244</v>
      </c>
      <c r="U39">
        <v>0.19764360739541939</v>
      </c>
      <c r="V39">
        <v>0.28777939483915593</v>
      </c>
      <c r="W39">
        <v>0.28444240687046651</v>
      </c>
      <c r="X39">
        <v>43.235025233038861</v>
      </c>
      <c r="Y39">
        <v>130.58715620876052</v>
      </c>
      <c r="Z39">
        <v>42.368475745133992</v>
      </c>
      <c r="AA39">
        <v>0</v>
      </c>
      <c r="AB39">
        <v>216.19065718693338</v>
      </c>
      <c r="AC39">
        <v>7.8812428530544016</v>
      </c>
    </row>
    <row r="40" spans="1:30" x14ac:dyDescent="0.25">
      <c r="A40">
        <v>39</v>
      </c>
      <c r="B40">
        <v>183</v>
      </c>
      <c r="C40">
        <v>0.7304109185527341</v>
      </c>
      <c r="D40">
        <v>4.9750736128691129</v>
      </c>
      <c r="E40">
        <v>3305.894705094478</v>
      </c>
      <c r="F40">
        <v>0.7304109185527341</v>
      </c>
      <c r="G40">
        <v>3305.894705094478</v>
      </c>
      <c r="H40">
        <v>4.9750736128691129</v>
      </c>
      <c r="I40">
        <v>0.68589249634298588</v>
      </c>
      <c r="J40">
        <v>1.3884790361422019</v>
      </c>
      <c r="K40">
        <v>0.91078322891376162</v>
      </c>
      <c r="L40">
        <v>5.812222109422157E-2</v>
      </c>
      <c r="M40">
        <v>3.2397131530922788E-2</v>
      </c>
      <c r="N40">
        <v>1.6752883954099702E-2</v>
      </c>
      <c r="O40">
        <v>5.6918433774978933E-2</v>
      </c>
      <c r="P40">
        <v>188.16634883897356</v>
      </c>
      <c r="Q40">
        <v>186.76634883897356</v>
      </c>
      <c r="R40">
        <v>0</v>
      </c>
      <c r="S40">
        <v>0</v>
      </c>
      <c r="T40">
        <v>0.27797210772940234</v>
      </c>
      <c r="U40">
        <v>0.19179328555735248</v>
      </c>
      <c r="V40">
        <v>0.28441271373084048</v>
      </c>
      <c r="W40">
        <v>0.28370926259111062</v>
      </c>
      <c r="X40">
        <v>41.261932646175623</v>
      </c>
      <c r="Y40">
        <v>125.10882608838139</v>
      </c>
      <c r="Z40">
        <v>42.176009935221487</v>
      </c>
      <c r="AA40">
        <v>0</v>
      </c>
      <c r="AB40">
        <v>208.54676866977849</v>
      </c>
      <c r="AC40">
        <v>7.8424637478433441</v>
      </c>
    </row>
    <row r="41" spans="1:30" x14ac:dyDescent="0.25">
      <c r="A41">
        <v>40</v>
      </c>
      <c r="B41">
        <v>184</v>
      </c>
      <c r="C41">
        <v>0.74200049674229118</v>
      </c>
      <c r="D41">
        <v>5.2714003203321909</v>
      </c>
      <c r="E41">
        <v>3519.7932413736849</v>
      </c>
      <c r="F41">
        <v>0.74200049674229118</v>
      </c>
      <c r="G41">
        <v>3519.7932413736849</v>
      </c>
      <c r="H41">
        <v>5.27140032033219</v>
      </c>
      <c r="I41">
        <v>0.60958655401409356</v>
      </c>
      <c r="J41">
        <v>1.4070520781126461</v>
      </c>
      <c r="K41">
        <v>0.92564166249011681</v>
      </c>
      <c r="L41">
        <v>5.6789466892105421E-2</v>
      </c>
      <c r="M41">
        <v>3.1654258798747732E-2</v>
      </c>
      <c r="N41">
        <v>1.6368736960625456E-2</v>
      </c>
      <c r="O41">
        <v>5.5637988151788567E-2</v>
      </c>
      <c r="P41">
        <v>195.83421466029455</v>
      </c>
      <c r="Q41">
        <v>194.43421466029454</v>
      </c>
      <c r="R41">
        <v>0</v>
      </c>
      <c r="S41">
        <v>0</v>
      </c>
      <c r="T41">
        <v>0.31711706853919025</v>
      </c>
      <c r="U41">
        <v>0.18567682150235904</v>
      </c>
      <c r="V41">
        <v>0.28080455680940564</v>
      </c>
      <c r="W41">
        <v>0.28289108292687459</v>
      </c>
      <c r="X41">
        <v>39.405072400299083</v>
      </c>
      <c r="Y41">
        <v>119.75202409315173</v>
      </c>
      <c r="Z41">
        <v>41.96500063808886</v>
      </c>
      <c r="AA41">
        <v>0</v>
      </c>
      <c r="AB41">
        <v>201.12209713153968</v>
      </c>
      <c r="AC41">
        <v>7.6678658213209792</v>
      </c>
    </row>
    <row r="42" spans="1:30" x14ac:dyDescent="0.25">
      <c r="A42">
        <v>41</v>
      </c>
      <c r="B42">
        <v>185</v>
      </c>
      <c r="C42">
        <v>0.75201052082851905</v>
      </c>
      <c r="D42">
        <v>5.8101434337744173</v>
      </c>
      <c r="E42">
        <v>3731.696839588531</v>
      </c>
      <c r="F42">
        <v>0.75201052082851905</v>
      </c>
      <c r="G42">
        <v>3731.696839588531</v>
      </c>
      <c r="H42">
        <v>5.8101434337744173</v>
      </c>
      <c r="I42">
        <v>0.58003434100978069</v>
      </c>
      <c r="J42">
        <v>1.4230937833790369</v>
      </c>
      <c r="K42">
        <v>0.93847502670322946</v>
      </c>
      <c r="L42">
        <v>5.5574272617994726E-2</v>
      </c>
      <c r="M42">
        <v>3.0976913577026637E-2</v>
      </c>
      <c r="N42">
        <v>1.6018474904692312E-2</v>
      </c>
      <c r="O42">
        <v>5.4500851068286456E-2</v>
      </c>
      <c r="P42">
        <v>203.38065368640977</v>
      </c>
      <c r="Q42">
        <v>201.98065368640977</v>
      </c>
      <c r="R42">
        <v>0</v>
      </c>
      <c r="S42">
        <v>0</v>
      </c>
      <c r="T42">
        <v>0.35975207936881615</v>
      </c>
      <c r="U42">
        <v>0.17902446640220998</v>
      </c>
      <c r="V42">
        <v>0.27678554815434342</v>
      </c>
      <c r="W42">
        <v>0.28194215981453702</v>
      </c>
      <c r="X42">
        <v>37.62508052916229</v>
      </c>
      <c r="Y42">
        <v>114.50541901775033</v>
      </c>
      <c r="Z42">
        <v>41.726753182735123</v>
      </c>
      <c r="AA42">
        <v>0</v>
      </c>
      <c r="AB42">
        <v>193.85725272964774</v>
      </c>
      <c r="AC42">
        <v>7.5464390261152303</v>
      </c>
    </row>
    <row r="43" spans="1:30" x14ac:dyDescent="0.25">
      <c r="A43">
        <v>42</v>
      </c>
      <c r="B43">
        <v>186</v>
      </c>
      <c r="C43">
        <v>0.76061751285659984</v>
      </c>
      <c r="D43">
        <v>6.0934047757692529</v>
      </c>
      <c r="E43">
        <v>3944.6165446182463</v>
      </c>
      <c r="F43">
        <v>0.76061751285659984</v>
      </c>
      <c r="G43">
        <v>3944.6165446182463</v>
      </c>
      <c r="H43">
        <v>6.0934047757692529</v>
      </c>
      <c r="I43">
        <v>0.65687492288367577</v>
      </c>
      <c r="J43">
        <v>1.4368870398342946</v>
      </c>
      <c r="K43">
        <v>0.94950963186743564</v>
      </c>
      <c r="L43">
        <v>5.4444920175297742E-2</v>
      </c>
      <c r="M43">
        <v>3.0347416304864393E-2</v>
      </c>
      <c r="N43">
        <v>1.5692955506782333E-2</v>
      </c>
      <c r="O43">
        <v>5.3421437549207508E-2</v>
      </c>
      <c r="P43">
        <v>210.72708639389435</v>
      </c>
      <c r="Q43">
        <v>209.32708639389435</v>
      </c>
      <c r="R43">
        <v>0</v>
      </c>
      <c r="S43">
        <v>0</v>
      </c>
      <c r="T43">
        <v>0.40386847126358721</v>
      </c>
      <c r="U43">
        <v>0.17215628538599628</v>
      </c>
      <c r="V43">
        <v>0.27251118847797179</v>
      </c>
      <c r="W43">
        <v>0.28089789095558382</v>
      </c>
      <c r="X43">
        <v>35.930487777978357</v>
      </c>
      <c r="Y43">
        <v>109.40568246802961</v>
      </c>
      <c r="Z43">
        <v>41.469420808794638</v>
      </c>
      <c r="AA43">
        <v>0</v>
      </c>
      <c r="AB43">
        <v>186.80559105480262</v>
      </c>
      <c r="AC43">
        <v>7.3464327074845848</v>
      </c>
    </row>
    <row r="44" spans="1:30" x14ac:dyDescent="0.25">
      <c r="A44">
        <v>43</v>
      </c>
      <c r="B44">
        <v>187</v>
      </c>
      <c r="C44">
        <v>0.76798958241514648</v>
      </c>
      <c r="D44">
        <v>5.8905033773192601</v>
      </c>
      <c r="E44">
        <v>4180.5150142864723</v>
      </c>
      <c r="F44">
        <v>0.76798958241514648</v>
      </c>
      <c r="G44">
        <v>4180.5150142864723</v>
      </c>
      <c r="H44">
        <v>5.8905033773192601</v>
      </c>
      <c r="I44">
        <v>0.57173630129301656</v>
      </c>
      <c r="J44">
        <v>1.4487012538704269</v>
      </c>
      <c r="K44">
        <v>0.95896100309634158</v>
      </c>
      <c r="L44">
        <v>5.3287349248053922E-2</v>
      </c>
      <c r="M44">
        <v>2.9702190143849384E-2</v>
      </c>
      <c r="N44">
        <v>1.5359302541571007E-2</v>
      </c>
      <c r="O44">
        <v>5.2160820776181643E-2</v>
      </c>
      <c r="P44">
        <v>218.05909441233311</v>
      </c>
      <c r="Q44">
        <v>216.6590944123331</v>
      </c>
      <c r="R44">
        <v>0</v>
      </c>
      <c r="S44">
        <v>0</v>
      </c>
      <c r="T44">
        <v>0.44584562915458636</v>
      </c>
      <c r="U44">
        <v>0.1656572902804713</v>
      </c>
      <c r="V44">
        <v>0.26828662846077689</v>
      </c>
      <c r="W44">
        <v>0.2798404393236652</v>
      </c>
      <c r="X44">
        <v>34.29880316935872</v>
      </c>
      <c r="Y44">
        <v>104.22213595106285</v>
      </c>
      <c r="Z44">
        <v>41.20915594164552</v>
      </c>
      <c r="AA44">
        <v>0</v>
      </c>
      <c r="AB44">
        <v>179.73009506206711</v>
      </c>
      <c r="AC44">
        <v>7.3320080184387582</v>
      </c>
    </row>
    <row r="45" spans="1:30" x14ac:dyDescent="0.25">
      <c r="A45">
        <v>44</v>
      </c>
      <c r="B45">
        <v>188</v>
      </c>
      <c r="C45">
        <v>0.77428304405508996</v>
      </c>
      <c r="D45">
        <v>5.4830649089835637</v>
      </c>
      <c r="E45">
        <v>4397.4017922164658</v>
      </c>
      <c r="F45">
        <v>0.77428304405508996</v>
      </c>
      <c r="G45">
        <v>4397.4017922164658</v>
      </c>
      <c r="H45">
        <v>5.4830649089835655</v>
      </c>
      <c r="I45">
        <v>0.40543118004011963</v>
      </c>
      <c r="J45">
        <v>1.4587869295754645</v>
      </c>
      <c r="K45">
        <v>0.96702954366037175</v>
      </c>
      <c r="L45">
        <v>5.2299382750241166E-2</v>
      </c>
      <c r="M45">
        <v>2.9151500924215153E-2</v>
      </c>
      <c r="N45">
        <v>1.5074535583653754E-2</v>
      </c>
      <c r="O45">
        <v>5.1153198536960404E-2</v>
      </c>
      <c r="P45">
        <v>224.94116692403435</v>
      </c>
      <c r="Q45">
        <v>223.54116692403434</v>
      </c>
      <c r="R45">
        <v>0</v>
      </c>
      <c r="S45">
        <v>0</v>
      </c>
      <c r="T45">
        <v>0.48420123254260206</v>
      </c>
      <c r="U45">
        <v>0.15978281826916227</v>
      </c>
      <c r="V45">
        <v>0.26423009370170708</v>
      </c>
      <c r="W45">
        <v>0.27880531627607696</v>
      </c>
      <c r="X45">
        <v>32.852792405594762</v>
      </c>
      <c r="Y45">
        <v>99.278143069229102</v>
      </c>
      <c r="Z45">
        <v>40.954200126295802</v>
      </c>
      <c r="AA45">
        <v>0</v>
      </c>
      <c r="AB45">
        <v>173.08513560111967</v>
      </c>
      <c r="AC45">
        <v>6.8820725117012262</v>
      </c>
    </row>
    <row r="46" spans="1:30" x14ac:dyDescent="0.25">
      <c r="A46">
        <v>45</v>
      </c>
      <c r="B46">
        <v>189</v>
      </c>
      <c r="C46">
        <v>0.77964054149417439</v>
      </c>
      <c r="D46">
        <v>2.8948700141355634</v>
      </c>
      <c r="E46">
        <v>4554.9813787942894</v>
      </c>
      <c r="F46">
        <v>0.77964054149417439</v>
      </c>
      <c r="G46">
        <v>4554.9813787942894</v>
      </c>
      <c r="H46">
        <v>2.894870014135563</v>
      </c>
      <c r="I46">
        <v>0.14145077965277106</v>
      </c>
      <c r="J46">
        <v>1.4673726626509205</v>
      </c>
      <c r="K46">
        <v>0.97389813012073634</v>
      </c>
      <c r="L46">
        <v>5.162250728535149E-2</v>
      </c>
      <c r="M46">
        <v>2.8774212805260845E-2</v>
      </c>
      <c r="N46">
        <v>1.4879436086401378E-2</v>
      </c>
      <c r="O46">
        <v>5.0499746524493197E-2</v>
      </c>
      <c r="P46">
        <v>230.02540505289815</v>
      </c>
      <c r="Q46">
        <v>228.62540505289815</v>
      </c>
      <c r="R46">
        <v>0</v>
      </c>
      <c r="S46">
        <v>0</v>
      </c>
      <c r="T46">
        <v>0.50328931978117719</v>
      </c>
      <c r="U46">
        <v>0.15702187363183762</v>
      </c>
      <c r="V46">
        <v>0.26178176196332209</v>
      </c>
      <c r="W46">
        <v>0.27822485262351543</v>
      </c>
      <c r="X46">
        <v>4.1778549702785819</v>
      </c>
      <c r="Y46">
        <v>85.067320143536421</v>
      </c>
      <c r="Z46">
        <v>69.97437387654162</v>
      </c>
      <c r="AA46">
        <v>0</v>
      </c>
      <c r="AB46">
        <v>159.21954899035663</v>
      </c>
      <c r="AC46">
        <v>5.0842381288638068</v>
      </c>
    </row>
    <row r="47" spans="1:30" x14ac:dyDescent="0.25">
      <c r="A47">
        <v>46</v>
      </c>
      <c r="B47">
        <v>190</v>
      </c>
      <c r="C47">
        <v>0.78419030631889708</v>
      </c>
      <c r="D47">
        <v>4.8792983986136358</v>
      </c>
      <c r="E47">
        <v>4805.4699290105109</v>
      </c>
      <c r="F47">
        <v>0.78419030631889708</v>
      </c>
      <c r="G47">
        <v>4805.4699290105109</v>
      </c>
      <c r="H47">
        <v>4.8792983986136358</v>
      </c>
      <c r="I47">
        <v>0.27999541153427349</v>
      </c>
      <c r="J47">
        <v>1.4746639524341298</v>
      </c>
      <c r="K47">
        <v>0.97973116194730392</v>
      </c>
      <c r="L47">
        <v>5.0610061931641082E-2</v>
      </c>
      <c r="M47">
        <v>2.8209879153268169E-2</v>
      </c>
      <c r="N47">
        <v>1.4587613454690835E-2</v>
      </c>
      <c r="O47">
        <v>4.9069644689770986E-2</v>
      </c>
      <c r="P47">
        <v>235.80270198392478</v>
      </c>
      <c r="Q47">
        <v>234.40270198392474</v>
      </c>
      <c r="R47">
        <v>0</v>
      </c>
      <c r="S47">
        <v>0</v>
      </c>
      <c r="T47">
        <v>3.4953810536664291E-2</v>
      </c>
      <c r="U47">
        <v>0.22963736974252238</v>
      </c>
      <c r="V47">
        <v>0.30365009920124458</v>
      </c>
      <c r="W47">
        <v>0.34440365838525716</v>
      </c>
      <c r="X47">
        <v>4.3176854454101194</v>
      </c>
      <c r="Y47">
        <v>80.802742947933027</v>
      </c>
      <c r="Z47">
        <v>68.543369228101227</v>
      </c>
      <c r="AA47">
        <v>0</v>
      </c>
      <c r="AB47">
        <v>153.66379762144436</v>
      </c>
      <c r="AC47">
        <v>5.7772969310266111</v>
      </c>
    </row>
    <row r="48" spans="1:30" x14ac:dyDescent="0.25">
      <c r="A48">
        <v>47</v>
      </c>
      <c r="B48">
        <v>191</v>
      </c>
      <c r="C48">
        <v>0.78804622592768736</v>
      </c>
      <c r="D48">
        <v>4.0867241552311144</v>
      </c>
      <c r="E48">
        <v>5028.1741389303288</v>
      </c>
      <c r="F48">
        <v>0.78804622592768736</v>
      </c>
      <c r="G48">
        <v>5028.1741389303288</v>
      </c>
      <c r="H48">
        <v>4.0867241552311144</v>
      </c>
      <c r="I48">
        <v>0.19755786475573583</v>
      </c>
      <c r="J48">
        <v>1.4808433107815502</v>
      </c>
      <c r="K48">
        <v>0.98467464862524012</v>
      </c>
      <c r="L48">
        <v>4.976881768385033E-2</v>
      </c>
      <c r="M48">
        <v>2.7740972424787715E-2</v>
      </c>
      <c r="N48">
        <v>1.4345137049024131E-2</v>
      </c>
      <c r="O48">
        <v>4.8044040141174332E-2</v>
      </c>
      <c r="P48">
        <v>241.57380016758341</v>
      </c>
      <c r="Q48">
        <v>240.17380016758338</v>
      </c>
      <c r="R48">
        <v>0</v>
      </c>
      <c r="S48">
        <v>0</v>
      </c>
      <c r="T48">
        <v>6.1631957979924719E-2</v>
      </c>
      <c r="U48">
        <v>0.22547091416810491</v>
      </c>
      <c r="V48">
        <v>0.3009520639291024</v>
      </c>
      <c r="W48">
        <v>0.34355471009828609</v>
      </c>
      <c r="X48">
        <v>4.4021862563612686</v>
      </c>
      <c r="Y48">
        <v>76.574826335666899</v>
      </c>
      <c r="Z48">
        <v>67.06943597131847</v>
      </c>
      <c r="AA48">
        <v>0</v>
      </c>
      <c r="AB48">
        <v>148.04644856334664</v>
      </c>
      <c r="AC48">
        <v>5.7710981836586388</v>
      </c>
    </row>
    <row r="49" spans="1:29" x14ac:dyDescent="0.25">
      <c r="A49">
        <v>48</v>
      </c>
      <c r="B49">
        <v>192</v>
      </c>
      <c r="C49">
        <v>0.79130845411029727</v>
      </c>
      <c r="D49">
        <v>4.977180528124717</v>
      </c>
      <c r="E49">
        <v>5281.7982170467585</v>
      </c>
      <c r="F49">
        <v>0.79130845411029727</v>
      </c>
      <c r="G49">
        <v>5281.7982170467585</v>
      </c>
      <c r="H49">
        <v>4.977180528124717</v>
      </c>
      <c r="I49">
        <v>0.23961184324142956</v>
      </c>
      <c r="J49">
        <v>1.4860712405613739</v>
      </c>
      <c r="K49">
        <v>0.98885699244909897</v>
      </c>
      <c r="L49">
        <v>4.8870847484009217E-2</v>
      </c>
      <c r="M49">
        <v>2.7240446840468745E-2</v>
      </c>
      <c r="N49">
        <v>1.408631021362514E-2</v>
      </c>
      <c r="O49">
        <v>4.6918892557508932E-2</v>
      </c>
      <c r="P49">
        <v>247.81612305605907</v>
      </c>
      <c r="Q49">
        <v>246.41612305605906</v>
      </c>
      <c r="R49">
        <v>0</v>
      </c>
      <c r="S49">
        <v>0</v>
      </c>
      <c r="T49">
        <v>9.6836990414415292E-2</v>
      </c>
      <c r="U49">
        <v>0.21986778661105957</v>
      </c>
      <c r="V49">
        <v>0.29765685077096604</v>
      </c>
      <c r="W49">
        <v>0.34249868975721831</v>
      </c>
      <c r="X49">
        <v>4.5110737807463126</v>
      </c>
      <c r="Y49">
        <v>72.069392871590424</v>
      </c>
      <c r="Z49">
        <v>65.422709847917019</v>
      </c>
      <c r="AA49">
        <v>0</v>
      </c>
      <c r="AB49">
        <v>142.00317650025374</v>
      </c>
      <c r="AC49">
        <v>6.2423228884756625</v>
      </c>
    </row>
    <row r="50" spans="1:29" x14ac:dyDescent="0.25">
      <c r="A50">
        <v>49</v>
      </c>
      <c r="B50">
        <v>193</v>
      </c>
      <c r="C50">
        <v>0.79406435657423857</v>
      </c>
      <c r="D50">
        <v>5.4222189138060353</v>
      </c>
      <c r="E50">
        <v>5534.6700004597351</v>
      </c>
      <c r="F50">
        <v>0.79406435657423857</v>
      </c>
      <c r="G50">
        <v>5534.6700004597351</v>
      </c>
      <c r="H50">
        <v>5.4222189138060344</v>
      </c>
      <c r="I50">
        <v>0.26013095640898842</v>
      </c>
      <c r="J50">
        <v>1.4904877509202541</v>
      </c>
      <c r="K50">
        <v>0.99239020073620321</v>
      </c>
      <c r="L50">
        <v>4.8032500696513998E-2</v>
      </c>
      <c r="M50">
        <v>2.6773155146660618E-2</v>
      </c>
      <c r="N50">
        <v>1.3844668958700764E-2</v>
      </c>
      <c r="O50">
        <v>4.5908631885308901E-2</v>
      </c>
      <c r="P50">
        <v>254.08912765776839</v>
      </c>
      <c r="Q50">
        <v>252.68912765776838</v>
      </c>
      <c r="R50">
        <v>0</v>
      </c>
      <c r="S50">
        <v>0</v>
      </c>
      <c r="T50">
        <v>0.13499415114487787</v>
      </c>
      <c r="U50">
        <v>0.21379204742876889</v>
      </c>
      <c r="V50">
        <v>0.2940593881449689</v>
      </c>
      <c r="W50">
        <v>0.34132745373789408</v>
      </c>
      <c r="X50">
        <v>4.6372650260177357</v>
      </c>
      <c r="Y50">
        <v>67.618418917639119</v>
      </c>
      <c r="Z50">
        <v>63.706253655647622</v>
      </c>
      <c r="AA50">
        <v>0</v>
      </c>
      <c r="AB50">
        <v>135.96193759930446</v>
      </c>
      <c r="AC50">
        <v>6.2730046017093342</v>
      </c>
    </row>
    <row r="51" spans="1:29" x14ac:dyDescent="0.25">
      <c r="A51">
        <v>50</v>
      </c>
      <c r="B51">
        <v>194</v>
      </c>
      <c r="C51">
        <v>0.79638963669404594</v>
      </c>
      <c r="D51">
        <v>5.3790338145487286</v>
      </c>
      <c r="E51">
        <v>5774.0324713234349</v>
      </c>
      <c r="F51">
        <v>0.79638963669404594</v>
      </c>
      <c r="G51">
        <v>5774.0324713234349</v>
      </c>
      <c r="H51">
        <v>5.3790338145487278</v>
      </c>
      <c r="I51">
        <v>0.257305676073601</v>
      </c>
      <c r="J51">
        <v>1.4942141613686633</v>
      </c>
      <c r="K51">
        <v>0.99537132909493065</v>
      </c>
      <c r="L51">
        <v>4.7285918168320965E-2</v>
      </c>
      <c r="M51">
        <v>2.6357012543896885E-2</v>
      </c>
      <c r="N51">
        <v>1.3629477415406151E-2</v>
      </c>
      <c r="O51">
        <v>4.5035415853512756E-2</v>
      </c>
      <c r="P51">
        <v>260.03595349773684</v>
      </c>
      <c r="Q51">
        <v>258.63595349773681</v>
      </c>
      <c r="R51">
        <v>0</v>
      </c>
      <c r="S51">
        <v>0</v>
      </c>
      <c r="T51">
        <v>0.17266882507452716</v>
      </c>
      <c r="U51">
        <v>0.20779231240779436</v>
      </c>
      <c r="V51">
        <v>0.29048263410781228</v>
      </c>
      <c r="W51">
        <v>0.34014587516692774</v>
      </c>
      <c r="X51">
        <v>4.7932867137258466</v>
      </c>
      <c r="Y51">
        <v>63.482045782490296</v>
      </c>
      <c r="Z51">
        <v>62.011543606624379</v>
      </c>
      <c r="AA51">
        <v>0</v>
      </c>
      <c r="AB51">
        <v>130.28687610284052</v>
      </c>
      <c r="AC51">
        <v>5.9468258399684313</v>
      </c>
    </row>
    <row r="52" spans="1:29" x14ac:dyDescent="0.25">
      <c r="A52">
        <v>51</v>
      </c>
      <c r="B52">
        <v>195</v>
      </c>
      <c r="C52">
        <v>0.79834953110353268</v>
      </c>
      <c r="D52">
        <v>4.3460064308064403</v>
      </c>
      <c r="E52">
        <v>5965.0989262445964</v>
      </c>
      <c r="F52">
        <v>0.79834953110353268</v>
      </c>
      <c r="G52">
        <v>5965.0989262445964</v>
      </c>
      <c r="H52">
        <v>4.3460064308064412</v>
      </c>
      <c r="I52">
        <v>0.20738053107660284</v>
      </c>
      <c r="J52">
        <v>1.4973550177941228</v>
      </c>
      <c r="K52">
        <v>0.99788401423529827</v>
      </c>
      <c r="L52">
        <v>4.6719760494620642E-2</v>
      </c>
      <c r="M52">
        <v>2.6041438151232558E-2</v>
      </c>
      <c r="N52">
        <v>1.346629070938112E-2</v>
      </c>
      <c r="O52">
        <v>4.4449903680766206E-2</v>
      </c>
      <c r="P52">
        <v>265.14807271781422</v>
      </c>
      <c r="Q52">
        <v>263.74807271781418</v>
      </c>
      <c r="R52">
        <v>0</v>
      </c>
      <c r="S52">
        <v>0</v>
      </c>
      <c r="T52">
        <v>0.2029335227230295</v>
      </c>
      <c r="U52">
        <v>0.20297235211612205</v>
      </c>
      <c r="V52">
        <v>0.28758382172521507</v>
      </c>
      <c r="W52">
        <v>0.33917263497958433</v>
      </c>
      <c r="X52">
        <v>4.9799025260514389</v>
      </c>
      <c r="Y52">
        <v>60.004789060439343</v>
      </c>
      <c r="Z52">
        <v>60.484231838193658</v>
      </c>
      <c r="AA52">
        <v>0</v>
      </c>
      <c r="AB52">
        <v>125.46892342468443</v>
      </c>
      <c r="AC52">
        <v>5.1121192200773855</v>
      </c>
    </row>
    <row r="53" spans="1:29" x14ac:dyDescent="0.25">
      <c r="A53">
        <v>52</v>
      </c>
      <c r="B53">
        <v>196</v>
      </c>
      <c r="C53">
        <v>0.8</v>
      </c>
      <c r="D53">
        <v>6.0430426947973448</v>
      </c>
      <c r="E53">
        <v>6198.7898171350053</v>
      </c>
      <c r="F53">
        <v>0.8</v>
      </c>
      <c r="G53">
        <v>6198.7898171350053</v>
      </c>
      <c r="H53">
        <v>6.0430426947973457</v>
      </c>
      <c r="I53">
        <v>0.28776393784749282</v>
      </c>
      <c r="J53">
        <v>1.5</v>
      </c>
      <c r="K53">
        <v>1</v>
      </c>
      <c r="L53">
        <v>4.6060174754033033E-2</v>
      </c>
      <c r="M53">
        <v>2.5673787266743867E-2</v>
      </c>
      <c r="N53">
        <v>1.327617472341544E-2</v>
      </c>
      <c r="O53">
        <v>4.361399619914582E-2</v>
      </c>
      <c r="P53">
        <v>270.35399552382995</v>
      </c>
      <c r="Q53">
        <v>268.95399552382992</v>
      </c>
      <c r="R53">
        <v>0</v>
      </c>
      <c r="S53">
        <v>0</v>
      </c>
      <c r="T53">
        <v>0.24496469396531345</v>
      </c>
      <c r="U53">
        <v>0.1962941367477006</v>
      </c>
      <c r="V53">
        <v>0.28354249148000499</v>
      </c>
      <c r="W53">
        <v>0.3378060952036212</v>
      </c>
      <c r="X53">
        <v>5.136166531280737</v>
      </c>
      <c r="Y53">
        <v>56.543098348411583</v>
      </c>
      <c r="Z53">
        <v>58.884060033411217</v>
      </c>
      <c r="AA53">
        <v>0</v>
      </c>
      <c r="AB53">
        <v>120.56332491310354</v>
      </c>
      <c r="AC53">
        <v>5.2059228060157352</v>
      </c>
    </row>
    <row r="54" spans="1:29" x14ac:dyDescent="0.25">
      <c r="A54">
        <v>53</v>
      </c>
      <c r="B54">
        <v>197</v>
      </c>
      <c r="C54">
        <v>0.8</v>
      </c>
      <c r="D54">
        <v>5.3529180933000902</v>
      </c>
      <c r="E54">
        <v>6438.8193277288165</v>
      </c>
      <c r="F54">
        <v>0.8</v>
      </c>
      <c r="G54">
        <v>6438.8193277288165</v>
      </c>
      <c r="H54">
        <v>5.3529180933000884</v>
      </c>
      <c r="I54">
        <v>0.25490086158571879</v>
      </c>
      <c r="J54">
        <v>1.5</v>
      </c>
      <c r="K54">
        <v>1</v>
      </c>
      <c r="L54">
        <v>4.5417249548474037E-2</v>
      </c>
      <c r="M54">
        <v>2.5315422908725359E-2</v>
      </c>
      <c r="N54">
        <v>1.3090860894089562E-2</v>
      </c>
      <c r="O54">
        <v>4.2729097522706101E-2</v>
      </c>
      <c r="P54">
        <v>275.12493898560956</v>
      </c>
      <c r="Q54">
        <v>273.72493898560953</v>
      </c>
      <c r="R54">
        <v>0</v>
      </c>
      <c r="S54">
        <v>0</v>
      </c>
      <c r="T54">
        <v>0.28224489862271651</v>
      </c>
      <c r="U54">
        <v>0.19041882291283257</v>
      </c>
      <c r="V54">
        <v>0.27994071867332077</v>
      </c>
      <c r="W54">
        <v>0.33657734565857333</v>
      </c>
      <c r="X54">
        <v>5.2506878337978842</v>
      </c>
      <c r="Y54">
        <v>53.444705435532093</v>
      </c>
      <c r="Z54">
        <v>57.341783588243914</v>
      </c>
      <c r="AA54">
        <v>0</v>
      </c>
      <c r="AB54">
        <v>116.0371768575739</v>
      </c>
      <c r="AC54">
        <v>4.7709434617795861</v>
      </c>
    </row>
    <row r="55" spans="1:29" x14ac:dyDescent="0.25">
      <c r="A55">
        <v>54</v>
      </c>
      <c r="B55">
        <v>198</v>
      </c>
      <c r="C55">
        <v>0.8</v>
      </c>
      <c r="D55">
        <v>6.1624499669646138</v>
      </c>
      <c r="E55">
        <v>6672.5638488399545</v>
      </c>
      <c r="F55">
        <v>0.8</v>
      </c>
      <c r="G55">
        <v>6672.5638488399545</v>
      </c>
      <c r="H55">
        <v>6.1624499669646156</v>
      </c>
      <c r="I55">
        <v>0.33194434068584633</v>
      </c>
      <c r="J55">
        <v>1.5</v>
      </c>
      <c r="K55">
        <v>1</v>
      </c>
      <c r="L55">
        <v>4.4821958100310554E-2</v>
      </c>
      <c r="M55">
        <v>2.4983609447671938E-2</v>
      </c>
      <c r="N55">
        <v>1.2919276801771688E-2</v>
      </c>
      <c r="O55">
        <v>4.191220194171167E-2</v>
      </c>
      <c r="P55">
        <v>279.66184350154504</v>
      </c>
      <c r="Q55">
        <v>278.261843501545</v>
      </c>
      <c r="R55">
        <v>0</v>
      </c>
      <c r="S55">
        <v>0</v>
      </c>
      <c r="T55">
        <v>0.32506886521482359</v>
      </c>
      <c r="U55">
        <v>0.1836852928036127</v>
      </c>
      <c r="V55">
        <v>0.27577504382182189</v>
      </c>
      <c r="W55">
        <v>0.33515165068536285</v>
      </c>
      <c r="X55">
        <v>5.4061971874995551</v>
      </c>
      <c r="Y55">
        <v>50.588014795701312</v>
      </c>
      <c r="Z55">
        <v>55.822416855581274</v>
      </c>
      <c r="AA55">
        <v>0</v>
      </c>
      <c r="AB55">
        <v>111.81662883878214</v>
      </c>
      <c r="AC55">
        <v>4.5369045159355039</v>
      </c>
    </row>
    <row r="56" spans="1:29" x14ac:dyDescent="0.25">
      <c r="A56">
        <v>55</v>
      </c>
      <c r="B56">
        <v>199</v>
      </c>
      <c r="C56">
        <v>0.8</v>
      </c>
      <c r="D56">
        <v>5.6940868946002645</v>
      </c>
      <c r="E56">
        <v>6916.2369128691244</v>
      </c>
      <c r="F56">
        <v>0.8</v>
      </c>
      <c r="G56">
        <v>6916.2369128691244</v>
      </c>
      <c r="H56">
        <v>5.6940868946002645</v>
      </c>
      <c r="I56">
        <v>0.27114699498096523</v>
      </c>
      <c r="J56">
        <v>1.5</v>
      </c>
      <c r="K56">
        <v>1</v>
      </c>
      <c r="L56">
        <v>4.4231054122560537E-2</v>
      </c>
      <c r="M56">
        <v>2.4654241547944239E-2</v>
      </c>
      <c r="N56">
        <v>1.2748957333917661E-2</v>
      </c>
      <c r="O56">
        <v>4.1032419020481735E-2</v>
      </c>
      <c r="P56">
        <v>283.78993105376895</v>
      </c>
      <c r="Q56">
        <v>282.38993105376898</v>
      </c>
      <c r="R56">
        <v>0</v>
      </c>
      <c r="S56">
        <v>0</v>
      </c>
      <c r="T56">
        <v>0.36442444090161247</v>
      </c>
      <c r="U56">
        <v>0.17753417245621841</v>
      </c>
      <c r="V56">
        <v>0.27188415420444689</v>
      </c>
      <c r="W56">
        <v>0.33380548686093159</v>
      </c>
      <c r="X56">
        <v>5.531892220374905</v>
      </c>
      <c r="Y56">
        <v>48.044285417664213</v>
      </c>
      <c r="Z56">
        <v>54.39010845165096</v>
      </c>
      <c r="AA56">
        <v>0</v>
      </c>
      <c r="AB56">
        <v>107.96628608969007</v>
      </c>
      <c r="AC56">
        <v>4.1280875522239215</v>
      </c>
    </row>
    <row r="57" spans="1:29" x14ac:dyDescent="0.25">
      <c r="A57">
        <v>56</v>
      </c>
      <c r="B57">
        <v>200</v>
      </c>
      <c r="C57">
        <v>0.8</v>
      </c>
      <c r="D57">
        <v>6.0168014126892952</v>
      </c>
      <c r="E57">
        <v>7132.3540743961785</v>
      </c>
      <c r="F57">
        <v>0.8</v>
      </c>
      <c r="G57">
        <v>7132.3540743961785</v>
      </c>
      <c r="H57">
        <v>6.0168014126892952</v>
      </c>
      <c r="I57">
        <v>0.28651435298520478</v>
      </c>
      <c r="J57">
        <v>1.5</v>
      </c>
      <c r="K57">
        <v>1</v>
      </c>
      <c r="L57">
        <v>4.3730351411877491E-2</v>
      </c>
      <c r="M57">
        <v>2.4375151532619602E-2</v>
      </c>
      <c r="N57">
        <v>1.2604637067939213E-2</v>
      </c>
      <c r="O57">
        <v>4.0312698694672348E-2</v>
      </c>
      <c r="P57">
        <v>287.52444078485183</v>
      </c>
      <c r="Q57">
        <v>286.1244407848518</v>
      </c>
      <c r="R57">
        <v>0</v>
      </c>
      <c r="S57">
        <v>0</v>
      </c>
      <c r="T57">
        <v>0.40581360456602655</v>
      </c>
      <c r="U57">
        <v>0.1710990360835016</v>
      </c>
      <c r="V57">
        <v>0.26773204899727887</v>
      </c>
      <c r="W57">
        <v>0.33235912561543784</v>
      </c>
      <c r="X57">
        <v>5.6550955845819466</v>
      </c>
      <c r="Y57">
        <v>45.800151170296239</v>
      </c>
      <c r="Z57">
        <v>53.067140319551498</v>
      </c>
      <c r="AA57">
        <v>0</v>
      </c>
      <c r="AB57">
        <v>104.52238707442969</v>
      </c>
      <c r="AC57">
        <v>3.7345097310828579</v>
      </c>
    </row>
    <row r="58" spans="1:29" x14ac:dyDescent="0.25">
      <c r="A58">
        <v>57</v>
      </c>
      <c r="B58">
        <v>201</v>
      </c>
      <c r="C58">
        <v>0.8</v>
      </c>
      <c r="D58">
        <v>5.7670643001276165</v>
      </c>
      <c r="E58">
        <v>7343.2489747801365</v>
      </c>
      <c r="F58">
        <v>0.8</v>
      </c>
      <c r="G58">
        <v>7343.2489747801365</v>
      </c>
      <c r="H58">
        <v>5.7670643001276156</v>
      </c>
      <c r="I58">
        <v>0.27462210952988675</v>
      </c>
      <c r="J58">
        <v>1.5</v>
      </c>
      <c r="K58">
        <v>1</v>
      </c>
      <c r="L58">
        <v>4.3261391529523699E-2</v>
      </c>
      <c r="M58">
        <v>2.411375486357778E-2</v>
      </c>
      <c r="N58">
        <v>1.2469466210041934E-2</v>
      </c>
      <c r="O58">
        <v>3.9594807488536353E-2</v>
      </c>
      <c r="P58">
        <v>290.75452949681147</v>
      </c>
      <c r="Q58">
        <v>289.35452949681144</v>
      </c>
      <c r="R58">
        <v>0</v>
      </c>
      <c r="S58">
        <v>0</v>
      </c>
      <c r="T58">
        <v>0.44514123013329004</v>
      </c>
      <c r="U58">
        <v>0.16504426630476923</v>
      </c>
      <c r="V58">
        <v>0.26368155286235645</v>
      </c>
      <c r="W58">
        <v>0.33093026292883743</v>
      </c>
      <c r="X58">
        <v>5.7806832722473693</v>
      </c>
      <c r="Y58">
        <v>43.918417753583391</v>
      </c>
      <c r="Z58">
        <v>51.88755912108639</v>
      </c>
      <c r="AA58">
        <v>0</v>
      </c>
      <c r="AB58">
        <v>101.58666014691715</v>
      </c>
      <c r="AC58">
        <v>3.2300887119596222</v>
      </c>
    </row>
    <row r="59" spans="1:29" x14ac:dyDescent="0.25">
      <c r="A59">
        <v>58</v>
      </c>
      <c r="B59">
        <v>202</v>
      </c>
      <c r="C59">
        <v>0.8</v>
      </c>
      <c r="D59">
        <v>6.307211487265211</v>
      </c>
      <c r="E59">
        <v>7555.6799658434538</v>
      </c>
      <c r="F59">
        <v>0.8</v>
      </c>
      <c r="G59">
        <v>7555.6799658434529</v>
      </c>
      <c r="H59">
        <v>6.3072114872652092</v>
      </c>
      <c r="I59">
        <v>0.30798914556691875</v>
      </c>
      <c r="J59">
        <v>1.5</v>
      </c>
      <c r="K59">
        <v>1</v>
      </c>
      <c r="L59">
        <v>4.280730857727278E-2</v>
      </c>
      <c r="M59">
        <v>2.3860650545589401E-2</v>
      </c>
      <c r="N59">
        <v>1.2338583410634412E-2</v>
      </c>
      <c r="O59">
        <v>3.8863293557194034E-2</v>
      </c>
      <c r="P59">
        <v>293.63860853678386</v>
      </c>
      <c r="Q59">
        <v>292.23860853678383</v>
      </c>
      <c r="R59">
        <v>0</v>
      </c>
      <c r="S59">
        <v>0</v>
      </c>
      <c r="T59">
        <v>0.48786388163786865</v>
      </c>
      <c r="U59">
        <v>0.15851676216907515</v>
      </c>
      <c r="V59">
        <v>0.25918940542452129</v>
      </c>
      <c r="W59">
        <v>0.32933549152783625</v>
      </c>
      <c r="X59">
        <v>5.8815782325892183</v>
      </c>
      <c r="Y59">
        <v>42.280996714226958</v>
      </c>
      <c r="Z59">
        <v>50.829017643630991</v>
      </c>
      <c r="AA59">
        <v>0</v>
      </c>
      <c r="AB59">
        <v>98.991592590447169</v>
      </c>
      <c r="AC59">
        <v>2.8840790399724261</v>
      </c>
    </row>
    <row r="60" spans="1:29" x14ac:dyDescent="0.25">
      <c r="A60">
        <v>59</v>
      </c>
      <c r="B60">
        <v>203</v>
      </c>
      <c r="C60">
        <v>0.8</v>
      </c>
      <c r="D60">
        <v>5.2718692736076944</v>
      </c>
      <c r="E60">
        <v>7794.8585941519459</v>
      </c>
      <c r="F60">
        <v>0.8</v>
      </c>
      <c r="G60">
        <v>7794.8585941519432</v>
      </c>
      <c r="H60">
        <v>5.2718692736076926</v>
      </c>
      <c r="I60">
        <v>0.25104139398131897</v>
      </c>
      <c r="J60">
        <v>1.5</v>
      </c>
      <c r="K60">
        <v>1</v>
      </c>
      <c r="L60">
        <v>4.2316534026218822E-2</v>
      </c>
      <c r="M60">
        <v>2.3587094453217262E-2</v>
      </c>
      <c r="N60">
        <v>1.2197124792112178E-2</v>
      </c>
      <c r="O60">
        <v>3.7965899453893448E-2</v>
      </c>
      <c r="P60">
        <v>295.93881764288989</v>
      </c>
      <c r="Q60">
        <v>294.53881764288985</v>
      </c>
      <c r="R60">
        <v>0</v>
      </c>
      <c r="S60">
        <v>0</v>
      </c>
      <c r="T60">
        <v>0.52277727678412478</v>
      </c>
      <c r="U60">
        <v>0.15332301944335874</v>
      </c>
      <c r="V60">
        <v>0.25526837094733806</v>
      </c>
      <c r="W60">
        <v>0.32790653018352045</v>
      </c>
      <c r="X60">
        <v>3.7992499925881997</v>
      </c>
      <c r="Y60">
        <v>38.700436752917824</v>
      </c>
      <c r="Z60">
        <v>54.342741766001417</v>
      </c>
      <c r="AA60">
        <v>0</v>
      </c>
      <c r="AB60">
        <v>96.842428511507435</v>
      </c>
      <c r="AC60">
        <v>2.3002091061060175</v>
      </c>
    </row>
    <row r="61" spans="1:29" x14ac:dyDescent="0.25">
      <c r="A61">
        <v>60</v>
      </c>
      <c r="B61">
        <v>204</v>
      </c>
      <c r="C61">
        <v>0.8</v>
      </c>
      <c r="D61">
        <v>5.6296408987889484</v>
      </c>
      <c r="E61">
        <v>8028.2828980888889</v>
      </c>
      <c r="F61">
        <v>0.8</v>
      </c>
      <c r="G61">
        <v>8028.2828980888862</v>
      </c>
      <c r="H61">
        <v>5.6296408987889484</v>
      </c>
      <c r="I61">
        <v>0.26807813803756919</v>
      </c>
      <c r="J61">
        <v>1.5</v>
      </c>
      <c r="K61">
        <v>1</v>
      </c>
      <c r="L61">
        <v>4.1857062963514921E-2</v>
      </c>
      <c r="M61">
        <v>2.3330986820493796E-2</v>
      </c>
      <c r="N61">
        <v>1.2064688948319028E-2</v>
      </c>
      <c r="O61">
        <v>3.743789581859415E-2</v>
      </c>
      <c r="P61">
        <v>300.56201874085286</v>
      </c>
      <c r="Q61">
        <v>299.16201874085283</v>
      </c>
      <c r="R61">
        <v>0</v>
      </c>
      <c r="S61">
        <v>0</v>
      </c>
      <c r="T61">
        <v>3.9581789249618728E-2</v>
      </c>
      <c r="U61">
        <v>0.22887652196114608</v>
      </c>
      <c r="V61">
        <v>0.30314893723382674</v>
      </c>
      <c r="W61">
        <v>0.34416498313370059</v>
      </c>
      <c r="X61">
        <v>3.968396337262285</v>
      </c>
      <c r="Y61">
        <v>36.027696484344077</v>
      </c>
      <c r="Z61">
        <v>52.478081385960138</v>
      </c>
      <c r="AA61">
        <v>0</v>
      </c>
      <c r="AB61">
        <v>92.474174207566506</v>
      </c>
      <c r="AC61">
        <v>4.6232010979629576</v>
      </c>
    </row>
    <row r="62" spans="1:29" x14ac:dyDescent="0.25">
      <c r="A62">
        <v>61</v>
      </c>
      <c r="B62">
        <v>205</v>
      </c>
      <c r="C62">
        <v>0.8</v>
      </c>
      <c r="D62">
        <v>5.5477248245385589</v>
      </c>
      <c r="E62">
        <v>8254.1866213984867</v>
      </c>
      <c r="F62">
        <v>0.8</v>
      </c>
      <c r="G62">
        <v>8254.1866213984849</v>
      </c>
      <c r="H62">
        <v>5.5477248245385598</v>
      </c>
      <c r="I62">
        <v>0.26417737259707447</v>
      </c>
      <c r="J62">
        <v>1.5</v>
      </c>
      <c r="K62">
        <v>1</v>
      </c>
      <c r="L62">
        <v>4.1429496323581234E-2</v>
      </c>
      <c r="M62">
        <v>2.3092662606253752E-2</v>
      </c>
      <c r="N62">
        <v>1.1941449089851789E-2</v>
      </c>
      <c r="O62">
        <v>3.677442573301893E-2</v>
      </c>
      <c r="P62">
        <v>303.54297289509702</v>
      </c>
      <c r="Q62">
        <v>302.14297289509699</v>
      </c>
      <c r="R62">
        <v>0</v>
      </c>
      <c r="S62">
        <v>0</v>
      </c>
      <c r="T62">
        <v>7.8562696754710226E-2</v>
      </c>
      <c r="U62">
        <v>0.22267520608408292</v>
      </c>
      <c r="V62">
        <v>0.29947502616747712</v>
      </c>
      <c r="W62">
        <v>0.34294476042803629</v>
      </c>
      <c r="X62">
        <v>4.1373367388395677</v>
      </c>
      <c r="Y62">
        <v>34.473482443608745</v>
      </c>
      <c r="Z62">
        <v>51.144785069809508</v>
      </c>
      <c r="AA62">
        <v>0</v>
      </c>
      <c r="AB62">
        <v>89.755604252257825</v>
      </c>
      <c r="AC62">
        <v>2.9809541542441531</v>
      </c>
    </row>
    <row r="63" spans="1:29" x14ac:dyDescent="0.25">
      <c r="A63">
        <v>62</v>
      </c>
      <c r="B63">
        <v>206</v>
      </c>
      <c r="C63">
        <v>0.8</v>
      </c>
      <c r="D63">
        <v>5.6261955816200233</v>
      </c>
      <c r="E63">
        <v>8470.7319619462178</v>
      </c>
      <c r="F63">
        <v>0.8</v>
      </c>
      <c r="G63">
        <v>8470.731961946216</v>
      </c>
      <c r="H63">
        <v>5.6261955816200233</v>
      </c>
      <c r="I63">
        <v>0.32595601330687379</v>
      </c>
      <c r="J63">
        <v>1.5</v>
      </c>
      <c r="K63">
        <v>1</v>
      </c>
      <c r="L63">
        <v>4.1034428641903174E-2</v>
      </c>
      <c r="M63">
        <v>2.2872453202587083E-2</v>
      </c>
      <c r="N63">
        <v>1.1827576582907525E-2</v>
      </c>
      <c r="O63">
        <v>3.606366221562865E-2</v>
      </c>
      <c r="P63">
        <v>305.48561619475765</v>
      </c>
      <c r="Q63">
        <v>304.08561619475768</v>
      </c>
      <c r="R63">
        <v>0</v>
      </c>
      <c r="S63">
        <v>0</v>
      </c>
      <c r="T63">
        <v>0.11805812824652309</v>
      </c>
      <c r="U63">
        <v>0.2163977885959476</v>
      </c>
      <c r="V63">
        <v>0.29574375638274419</v>
      </c>
      <c r="W63">
        <v>0.34170105653766447</v>
      </c>
      <c r="X63">
        <v>4.2895423624082643</v>
      </c>
      <c r="Y63">
        <v>33.569504589508199</v>
      </c>
      <c r="Z63">
        <v>50.206482856121312</v>
      </c>
      <c r="AA63">
        <v>0</v>
      </c>
      <c r="AB63">
        <v>88.06552980803778</v>
      </c>
      <c r="AC63">
        <v>1.9426432996606791</v>
      </c>
    </row>
    <row r="64" spans="1:29" x14ac:dyDescent="0.25">
      <c r="A64">
        <v>63</v>
      </c>
      <c r="B64">
        <v>207</v>
      </c>
      <c r="C64">
        <v>0.8</v>
      </c>
      <c r="D64">
        <v>5.3591019062269956</v>
      </c>
      <c r="E64">
        <v>8680.2251806383974</v>
      </c>
      <c r="F64">
        <v>0.8</v>
      </c>
      <c r="G64">
        <v>8680.2251806383956</v>
      </c>
      <c r="H64">
        <v>5.3591019062269956</v>
      </c>
      <c r="I64">
        <v>0.25519532886795238</v>
      </c>
      <c r="J64">
        <v>1.5</v>
      </c>
      <c r="K64">
        <v>1</v>
      </c>
      <c r="L64">
        <v>4.0665177423397307E-2</v>
      </c>
      <c r="M64">
        <v>2.2666633809097361E-2</v>
      </c>
      <c r="N64">
        <v>1.1721145295577494E-2</v>
      </c>
      <c r="O64">
        <v>3.5336868441999007E-2</v>
      </c>
      <c r="P64">
        <v>306.73197525514604</v>
      </c>
      <c r="Q64">
        <v>305.33197525514601</v>
      </c>
      <c r="R64">
        <v>0</v>
      </c>
      <c r="S64">
        <v>0</v>
      </c>
      <c r="T64">
        <v>0.15563693960928032</v>
      </c>
      <c r="U64">
        <v>0.21043187311721018</v>
      </c>
      <c r="V64">
        <v>0.29218332202303615</v>
      </c>
      <c r="W64">
        <v>0.34050920256365597</v>
      </c>
      <c r="X64">
        <v>4.4392875302448234</v>
      </c>
      <c r="Y64">
        <v>33.057119188436239</v>
      </c>
      <c r="Z64">
        <v>49.575866440096057</v>
      </c>
      <c r="AA64">
        <v>0</v>
      </c>
      <c r="AB64">
        <v>87.072273158777122</v>
      </c>
      <c r="AC64">
        <v>1.2463590603883565</v>
      </c>
    </row>
    <row r="65" spans="1:29" x14ac:dyDescent="0.25">
      <c r="A65">
        <v>64</v>
      </c>
      <c r="B65">
        <v>208</v>
      </c>
      <c r="C65">
        <v>0.8</v>
      </c>
      <c r="D65">
        <v>5.7139084900517343</v>
      </c>
      <c r="E65">
        <v>8885.8679625595432</v>
      </c>
      <c r="F65">
        <v>0.8</v>
      </c>
      <c r="G65">
        <v>8885.8679625595414</v>
      </c>
      <c r="H65">
        <v>5.7139084900517343</v>
      </c>
      <c r="I65">
        <v>0.27209088047865426</v>
      </c>
      <c r="J65">
        <v>1.5</v>
      </c>
      <c r="K65">
        <v>1</v>
      </c>
      <c r="L65">
        <v>4.0314399187435047E-2</v>
      </c>
      <c r="M65">
        <v>2.24711111942573E-2</v>
      </c>
      <c r="N65">
        <v>1.1620038576493703E-2</v>
      </c>
      <c r="O65">
        <v>3.4629256968232269E-2</v>
      </c>
      <c r="P65">
        <v>307.71100506125686</v>
      </c>
      <c r="Q65">
        <v>306.31100506125682</v>
      </c>
      <c r="R65">
        <v>0</v>
      </c>
      <c r="S65">
        <v>0</v>
      </c>
      <c r="T65">
        <v>0.19564412864241881</v>
      </c>
      <c r="U65">
        <v>0.20408990558651716</v>
      </c>
      <c r="V65">
        <v>0.28837690043250352</v>
      </c>
      <c r="W65">
        <v>0.33922977470477811</v>
      </c>
      <c r="X65">
        <v>4.6154983550118329</v>
      </c>
      <c r="Y65">
        <v>32.621365079915044</v>
      </c>
      <c r="Z65">
        <v>49.152746634778197</v>
      </c>
      <c r="AA65">
        <v>0</v>
      </c>
      <c r="AB65">
        <v>86.389610069705071</v>
      </c>
      <c r="AC65">
        <v>0.97902980611082324</v>
      </c>
    </row>
    <row r="66" spans="1:29" x14ac:dyDescent="0.25">
      <c r="A66">
        <v>65</v>
      </c>
      <c r="B66">
        <v>209</v>
      </c>
      <c r="C66">
        <v>0.8</v>
      </c>
      <c r="D66">
        <v>5.6654525931131641</v>
      </c>
      <c r="E66">
        <v>9082.5314938070387</v>
      </c>
      <c r="F66">
        <v>0.8</v>
      </c>
      <c r="G66">
        <v>9082.5314938070369</v>
      </c>
      <c r="H66">
        <v>5.6654525931131641</v>
      </c>
      <c r="I66">
        <v>0.26978345681491284</v>
      </c>
      <c r="J66">
        <v>1.5</v>
      </c>
      <c r="K66">
        <v>1</v>
      </c>
      <c r="L66">
        <v>3.9989187552355338E-2</v>
      </c>
      <c r="M66">
        <v>2.228983931719011E-2</v>
      </c>
      <c r="N66">
        <v>1.1526301057857218E-2</v>
      </c>
      <c r="O66">
        <v>3.3973936585853064E-2</v>
      </c>
      <c r="P66">
        <v>308.56934900961357</v>
      </c>
      <c r="Q66">
        <v>307.16934900961354</v>
      </c>
      <c r="R66">
        <v>0</v>
      </c>
      <c r="S66">
        <v>0</v>
      </c>
      <c r="T66">
        <v>0.23523462830390154</v>
      </c>
      <c r="U66">
        <v>0.19782684011110563</v>
      </c>
      <c r="V66">
        <v>0.28458912711762513</v>
      </c>
      <c r="W66">
        <v>0.33794970830884175</v>
      </c>
      <c r="X66">
        <v>4.8120402694235667</v>
      </c>
      <c r="Y66">
        <v>32.191273202691939</v>
      </c>
      <c r="Z66">
        <v>48.855076828352836</v>
      </c>
      <c r="AA66">
        <v>0</v>
      </c>
      <c r="AB66">
        <v>85.858390300468344</v>
      </c>
      <c r="AC66">
        <v>0.85834394835671013</v>
      </c>
    </row>
    <row r="67" spans="1:29" x14ac:dyDescent="0.25">
      <c r="A67">
        <v>66</v>
      </c>
      <c r="B67">
        <v>210</v>
      </c>
      <c r="C67">
        <v>0.8</v>
      </c>
      <c r="D67">
        <v>2.9701096406648637</v>
      </c>
      <c r="E67">
        <v>9235.0991208118539</v>
      </c>
      <c r="F67">
        <v>0.8</v>
      </c>
      <c r="G67">
        <v>9235.0991208118521</v>
      </c>
      <c r="H67">
        <v>2.9701096406648637</v>
      </c>
      <c r="I67">
        <v>0.1414337924126127</v>
      </c>
      <c r="J67">
        <v>1.5</v>
      </c>
      <c r="K67">
        <v>1</v>
      </c>
      <c r="L67">
        <v>3.9743468000054953E-2</v>
      </c>
      <c r="M67">
        <v>2.2152876061042513E-2</v>
      </c>
      <c r="N67">
        <v>1.1455475974654215E-2</v>
      </c>
      <c r="O67">
        <v>3.34608204845942E-2</v>
      </c>
      <c r="P67">
        <v>309.01399383891913</v>
      </c>
      <c r="Q67">
        <v>307.6139938389191</v>
      </c>
      <c r="R67">
        <v>0</v>
      </c>
      <c r="S67">
        <v>0</v>
      </c>
      <c r="T67">
        <v>0.25584973564928198</v>
      </c>
      <c r="U67">
        <v>0.19459085170764118</v>
      </c>
      <c r="V67">
        <v>0.28257996513590317</v>
      </c>
      <c r="W67">
        <v>0.3372546394126984</v>
      </c>
      <c r="X67">
        <v>5.0371233098406245</v>
      </c>
      <c r="Y67">
        <v>31.98278977874531</v>
      </c>
      <c r="Z67">
        <v>48.70806321678387</v>
      </c>
      <c r="AA67">
        <v>0</v>
      </c>
      <c r="AB67">
        <v>85.727976305369808</v>
      </c>
      <c r="AC67">
        <v>0.44464482930554189</v>
      </c>
    </row>
    <row r="68" spans="1:29" x14ac:dyDescent="0.25">
      <c r="A68">
        <v>67</v>
      </c>
      <c r="B68">
        <v>211</v>
      </c>
      <c r="C68">
        <v>0.8</v>
      </c>
      <c r="D68">
        <v>5.1600920529042851</v>
      </c>
      <c r="E68">
        <v>9448.3932058510509</v>
      </c>
      <c r="F68">
        <v>0.8</v>
      </c>
      <c r="G68">
        <v>9448.3932058510472</v>
      </c>
      <c r="H68">
        <v>5.1600920529042833</v>
      </c>
      <c r="I68">
        <v>0.24571866918591856</v>
      </c>
      <c r="J68">
        <v>1.5</v>
      </c>
      <c r="K68">
        <v>1</v>
      </c>
      <c r="L68">
        <v>3.9409116049861651E-2</v>
      </c>
      <c r="M68">
        <v>2.1966509402919224E-2</v>
      </c>
      <c r="N68">
        <v>1.1359103893271863E-2</v>
      </c>
      <c r="O68">
        <v>3.2787491515105217E-2</v>
      </c>
      <c r="P68">
        <v>309.78911206821903</v>
      </c>
      <c r="Q68">
        <v>308.38911206821899</v>
      </c>
      <c r="R68">
        <v>0</v>
      </c>
      <c r="S68">
        <v>0</v>
      </c>
      <c r="T68">
        <v>0.28935956723212597</v>
      </c>
      <c r="U68">
        <v>0.18940280905677312</v>
      </c>
      <c r="V68">
        <v>0.27910325794464386</v>
      </c>
      <c r="W68">
        <v>0.33606577518398584</v>
      </c>
      <c r="X68">
        <v>5.2236132548436371</v>
      </c>
      <c r="Y68">
        <v>31.589690983730481</v>
      </c>
      <c r="Z68">
        <v>48.460771006830306</v>
      </c>
      <c r="AA68">
        <v>0</v>
      </c>
      <c r="AB68">
        <v>85.274075245404418</v>
      </c>
      <c r="AC68">
        <v>0.7751182292999037</v>
      </c>
    </row>
    <row r="69" spans="1:29" x14ac:dyDescent="0.25">
      <c r="A69">
        <v>68</v>
      </c>
      <c r="B69">
        <v>212</v>
      </c>
      <c r="C69">
        <v>0.8</v>
      </c>
      <c r="D69">
        <v>5.261377226979616</v>
      </c>
      <c r="E69">
        <v>9652.0113279954858</v>
      </c>
      <c r="F69">
        <v>0.8</v>
      </c>
      <c r="G69">
        <v>9652.011327995484</v>
      </c>
      <c r="H69">
        <v>5.2613772269796177</v>
      </c>
      <c r="I69">
        <v>0.25054177271331524</v>
      </c>
      <c r="J69">
        <v>1.5</v>
      </c>
      <c r="K69">
        <v>1</v>
      </c>
      <c r="L69">
        <v>3.909944059817435E-2</v>
      </c>
      <c r="M69">
        <v>2.1793897342482865E-2</v>
      </c>
      <c r="N69">
        <v>1.126984445328693E-2</v>
      </c>
      <c r="O69">
        <v>3.2179061898418029E-2</v>
      </c>
      <c r="P69">
        <v>310.59266996779866</v>
      </c>
      <c r="Q69">
        <v>309.19266996779862</v>
      </c>
      <c r="R69">
        <v>0</v>
      </c>
      <c r="S69">
        <v>0</v>
      </c>
      <c r="T69">
        <v>0.3258093215361898</v>
      </c>
      <c r="U69">
        <v>0.18368555424323024</v>
      </c>
      <c r="V69">
        <v>0.27553472632610526</v>
      </c>
      <c r="W69">
        <v>0.3348373698237363</v>
      </c>
      <c r="X69">
        <v>5.3823020390048244</v>
      </c>
      <c r="Y69">
        <v>31.181559015696479</v>
      </c>
      <c r="Z69">
        <v>48.205386693261808</v>
      </c>
      <c r="AA69">
        <v>0</v>
      </c>
      <c r="AB69">
        <v>84.769247747963107</v>
      </c>
      <c r="AC69">
        <v>0.8035578995796433</v>
      </c>
    </row>
    <row r="70" spans="1:29" x14ac:dyDescent="0.25">
      <c r="A70">
        <v>69</v>
      </c>
      <c r="B70">
        <v>213</v>
      </c>
      <c r="C70">
        <v>0.8</v>
      </c>
      <c r="D70">
        <v>5.2557108972859066</v>
      </c>
      <c r="E70">
        <v>9863.604785374313</v>
      </c>
      <c r="F70">
        <v>0.8</v>
      </c>
      <c r="G70">
        <v>9863.6047853743112</v>
      </c>
      <c r="H70">
        <v>5.2557108972859057</v>
      </c>
      <c r="I70">
        <v>0.2502719474898053</v>
      </c>
      <c r="J70">
        <v>1.5</v>
      </c>
      <c r="K70">
        <v>1</v>
      </c>
      <c r="L70">
        <v>3.8786977945685017E-2</v>
      </c>
      <c r="M70">
        <v>2.161973170564686E-2</v>
      </c>
      <c r="N70">
        <v>1.1179781643253256E-2</v>
      </c>
      <c r="O70">
        <v>3.1571552873233676E-2</v>
      </c>
      <c r="P70">
        <v>311.40932000212581</v>
      </c>
      <c r="Q70">
        <v>310.00932000212578</v>
      </c>
      <c r="R70">
        <v>0</v>
      </c>
      <c r="S70">
        <v>0</v>
      </c>
      <c r="T70">
        <v>0.36210101015662954</v>
      </c>
      <c r="U70">
        <v>0.17801946248668238</v>
      </c>
      <c r="V70">
        <v>0.27193776297758115</v>
      </c>
      <c r="W70">
        <v>0.33358900313423645</v>
      </c>
      <c r="X70">
        <v>5.536388083523633</v>
      </c>
      <c r="Y70">
        <v>30.770208449351504</v>
      </c>
      <c r="Z70">
        <v>47.946050444053114</v>
      </c>
      <c r="AA70">
        <v>0</v>
      </c>
      <c r="AB70">
        <v>84.252646976928247</v>
      </c>
      <c r="AC70">
        <v>0.81665003432714045</v>
      </c>
    </row>
    <row r="71" spans="1:29" x14ac:dyDescent="0.25">
      <c r="A71">
        <v>70</v>
      </c>
      <c r="B71">
        <v>214</v>
      </c>
      <c r="C71">
        <v>0.8</v>
      </c>
      <c r="D71">
        <v>5.7104626368609015</v>
      </c>
      <c r="E71">
        <v>10059.465117657213</v>
      </c>
      <c r="F71">
        <v>0.8</v>
      </c>
      <c r="G71">
        <v>10059.465117657212</v>
      </c>
      <c r="H71">
        <v>5.7104626368609006</v>
      </c>
      <c r="I71">
        <v>0.2719267922314717</v>
      </c>
      <c r="J71">
        <v>1.5</v>
      </c>
      <c r="K71">
        <v>1</v>
      </c>
      <c r="L71">
        <v>3.8505824711650309E-2</v>
      </c>
      <c r="M71">
        <v>2.1463017833879969E-2</v>
      </c>
      <c r="N71">
        <v>1.1098743317214964E-2</v>
      </c>
      <c r="O71">
        <v>3.1046612041516444E-2</v>
      </c>
      <c r="P71">
        <v>312.31231085307098</v>
      </c>
      <c r="Q71">
        <v>310.91231085307101</v>
      </c>
      <c r="R71">
        <v>0</v>
      </c>
      <c r="S71">
        <v>0</v>
      </c>
      <c r="T71">
        <v>0.40137226923779701</v>
      </c>
      <c r="U71">
        <v>0.17191559210503349</v>
      </c>
      <c r="V71">
        <v>0.26799609076323039</v>
      </c>
      <c r="W71">
        <v>0.33221362045651431</v>
      </c>
      <c r="X71">
        <v>5.6807174534966505</v>
      </c>
      <c r="Y71">
        <v>30.31816124894322</v>
      </c>
      <c r="Z71">
        <v>47.660249703951841</v>
      </c>
      <c r="AA71">
        <v>0</v>
      </c>
      <c r="AB71">
        <v>83.659128406391716</v>
      </c>
      <c r="AC71">
        <v>0.90299085094520248</v>
      </c>
    </row>
    <row r="72" spans="1:29" x14ac:dyDescent="0.25">
      <c r="A72">
        <v>71</v>
      </c>
      <c r="B72">
        <v>215</v>
      </c>
      <c r="C72">
        <v>0.8</v>
      </c>
      <c r="D72">
        <v>5.8516086324456467</v>
      </c>
      <c r="E72">
        <v>10257.327344515299</v>
      </c>
      <c r="F72">
        <v>0.8</v>
      </c>
      <c r="G72">
        <v>10257.327344515297</v>
      </c>
      <c r="H72">
        <v>5.8516086324456458</v>
      </c>
      <c r="I72">
        <v>0.27864803011645956</v>
      </c>
      <c r="J72">
        <v>1.5</v>
      </c>
      <c r="K72">
        <v>1</v>
      </c>
      <c r="L72">
        <v>3.8229311686969421E-2</v>
      </c>
      <c r="M72">
        <v>2.1308890399278357E-2</v>
      </c>
      <c r="N72">
        <v>1.101904246396012E-2</v>
      </c>
      <c r="O72">
        <v>3.0539890065081499E-2</v>
      </c>
      <c r="P72">
        <v>313.25764946305151</v>
      </c>
      <c r="Q72">
        <v>311.85764946305153</v>
      </c>
      <c r="R72">
        <v>0</v>
      </c>
      <c r="S72">
        <v>0</v>
      </c>
      <c r="T72">
        <v>0.44134559462531486</v>
      </c>
      <c r="U72">
        <v>0.16574913803781571</v>
      </c>
      <c r="V72">
        <v>0.26390116485679826</v>
      </c>
      <c r="W72">
        <v>0.33077178316527295</v>
      </c>
      <c r="X72">
        <v>5.8076832394573454</v>
      </c>
      <c r="Y72">
        <v>29.84639721803876</v>
      </c>
      <c r="Z72">
        <v>47.360770291273255</v>
      </c>
      <c r="AA72">
        <v>0</v>
      </c>
      <c r="AB72">
        <v>83.014850748769362</v>
      </c>
      <c r="AC72">
        <v>0.94533860998054919</v>
      </c>
    </row>
    <row r="73" spans="1:29" x14ac:dyDescent="0.25">
      <c r="A73">
        <v>72</v>
      </c>
      <c r="B73">
        <v>216</v>
      </c>
      <c r="C73">
        <v>0.8</v>
      </c>
      <c r="D73">
        <v>5.9772977626474875</v>
      </c>
      <c r="E73">
        <v>10460.286565408518</v>
      </c>
      <c r="F73">
        <v>0.8</v>
      </c>
      <c r="G73">
        <v>10460.286565408516</v>
      </c>
      <c r="H73">
        <v>5.9772977626474875</v>
      </c>
      <c r="I73">
        <v>0.28463322679273773</v>
      </c>
      <c r="J73">
        <v>1.5</v>
      </c>
      <c r="K73">
        <v>1</v>
      </c>
      <c r="L73">
        <v>3.7953166255918394E-2</v>
      </c>
      <c r="M73">
        <v>2.1154967860135876E-2</v>
      </c>
      <c r="N73">
        <v>1.0939447564216819E-2</v>
      </c>
      <c r="O73">
        <v>3.0041884953441941E-2</v>
      </c>
      <c r="P73">
        <v>314.246725578037</v>
      </c>
      <c r="Q73">
        <v>312.84672557803697</v>
      </c>
      <c r="R73">
        <v>0</v>
      </c>
      <c r="S73">
        <v>0</v>
      </c>
      <c r="T73">
        <v>0.48181867940871326</v>
      </c>
      <c r="U73">
        <v>0.15956810233490312</v>
      </c>
      <c r="V73">
        <v>0.25964263866292114</v>
      </c>
      <c r="W73">
        <v>0.32925674953676765</v>
      </c>
      <c r="X73">
        <v>5.9220882425464882</v>
      </c>
      <c r="Y73">
        <v>29.353297157563091</v>
      </c>
      <c r="Z73">
        <v>47.046226299100717</v>
      </c>
      <c r="AA73">
        <v>0</v>
      </c>
      <c r="AB73">
        <v>82.321611699210294</v>
      </c>
      <c r="AC73">
        <v>0.98907611498545012</v>
      </c>
    </row>
    <row r="74" spans="1:29" x14ac:dyDescent="0.25">
      <c r="A74">
        <v>73</v>
      </c>
      <c r="B74">
        <v>217</v>
      </c>
      <c r="C74">
        <v>0.8</v>
      </c>
      <c r="D74">
        <v>5.6310596016347985</v>
      </c>
      <c r="E74">
        <v>10666.231146624954</v>
      </c>
      <c r="F74">
        <v>0.8</v>
      </c>
      <c r="G74">
        <v>10666.231146624952</v>
      </c>
      <c r="H74">
        <v>5.6310596016348002</v>
      </c>
      <c r="I74">
        <v>0.26814569531594301</v>
      </c>
      <c r="J74">
        <v>1.5</v>
      </c>
      <c r="K74">
        <v>1</v>
      </c>
      <c r="L74">
        <v>3.7680362458080562E-2</v>
      </c>
      <c r="M74">
        <v>2.1002907936163592E-2</v>
      </c>
      <c r="N74">
        <v>1.0860815841592075E-2</v>
      </c>
      <c r="O74">
        <v>2.9552056921169592E-2</v>
      </c>
      <c r="P74">
        <v>315.20906997941256</v>
      </c>
      <c r="Q74">
        <v>313.80906997941258</v>
      </c>
      <c r="R74">
        <v>0</v>
      </c>
      <c r="S74">
        <v>0</v>
      </c>
      <c r="T74">
        <v>0.51936235120148855</v>
      </c>
      <c r="U74">
        <v>0.15393742940022981</v>
      </c>
      <c r="V74">
        <v>0.25550783485759182</v>
      </c>
      <c r="W74">
        <v>0.32776010707350067</v>
      </c>
      <c r="X74">
        <v>3.9407753643443821</v>
      </c>
      <c r="Y74">
        <v>27.179861117534525</v>
      </c>
      <c r="Z74">
        <v>50.429477908520859</v>
      </c>
      <c r="AA74">
        <v>0</v>
      </c>
      <c r="AB74">
        <v>81.55011439039977</v>
      </c>
      <c r="AC74">
        <v>0.96234440137558941</v>
      </c>
    </row>
    <row r="75" spans="1:29" x14ac:dyDescent="0.25">
      <c r="A75">
        <v>74</v>
      </c>
      <c r="B75">
        <v>218</v>
      </c>
      <c r="C75">
        <v>0.8</v>
      </c>
      <c r="D75">
        <v>5.7388528525016147</v>
      </c>
      <c r="E75">
        <v>10871.966957737064</v>
      </c>
      <c r="F75">
        <v>0.8</v>
      </c>
      <c r="G75">
        <v>10871.966957737062</v>
      </c>
      <c r="H75">
        <v>5.7388528525016156</v>
      </c>
      <c r="I75">
        <v>0.27327870726198189</v>
      </c>
      <c r="J75">
        <v>1.5</v>
      </c>
      <c r="K75">
        <v>1</v>
      </c>
      <c r="L75">
        <v>3.741494684823618E-2</v>
      </c>
      <c r="M75">
        <v>2.0854966163454166E-2</v>
      </c>
      <c r="N75">
        <v>1.0784313656582294E-2</v>
      </c>
      <c r="O75">
        <v>2.9144333820683026E-2</v>
      </c>
      <c r="P75">
        <v>316.85623430372465</v>
      </c>
      <c r="Q75">
        <v>315.45623430372461</v>
      </c>
      <c r="R75">
        <v>0</v>
      </c>
      <c r="S75">
        <v>0</v>
      </c>
      <c r="T75">
        <v>4.0346634072558868E-2</v>
      </c>
      <c r="U75">
        <v>0.22875517534590978</v>
      </c>
      <c r="V75">
        <v>0.30307612926468497</v>
      </c>
      <c r="W75">
        <v>0.34414071381065331</v>
      </c>
      <c r="X75">
        <v>4.20880752378915</v>
      </c>
      <c r="Y75">
        <v>26.822298899642423</v>
      </c>
      <c r="Z75">
        <v>49.248382438281382</v>
      </c>
      <c r="AA75">
        <v>0</v>
      </c>
      <c r="AB75">
        <v>80.279488861712949</v>
      </c>
      <c r="AC75">
        <v>1.6471643243120422</v>
      </c>
    </row>
    <row r="76" spans="1:29" x14ac:dyDescent="0.25">
      <c r="A76">
        <v>75</v>
      </c>
      <c r="B76">
        <v>219</v>
      </c>
      <c r="C76">
        <v>0.8</v>
      </c>
      <c r="D76">
        <v>6.0616237574817315</v>
      </c>
      <c r="E76">
        <v>11086.141096765245</v>
      </c>
      <c r="F76">
        <v>0.8</v>
      </c>
      <c r="G76">
        <v>11086.141096765243</v>
      </c>
      <c r="H76">
        <v>6.0616237574817307</v>
      </c>
      <c r="I76">
        <v>0.41596483510846582</v>
      </c>
      <c r="J76">
        <v>1.5</v>
      </c>
      <c r="K76">
        <v>1</v>
      </c>
      <c r="L76">
        <v>3.7145857622895628E-2</v>
      </c>
      <c r="M76">
        <v>2.0704976729760988E-2</v>
      </c>
      <c r="N76">
        <v>1.0706752605394644E-2</v>
      </c>
      <c r="O76">
        <v>2.8647937792901344E-2</v>
      </c>
      <c r="P76">
        <v>317.59508050345772</v>
      </c>
      <c r="Q76">
        <v>316.19508050345775</v>
      </c>
      <c r="R76">
        <v>0</v>
      </c>
      <c r="S76">
        <v>0</v>
      </c>
      <c r="T76">
        <v>8.2925943312126979E-2</v>
      </c>
      <c r="U76">
        <v>0.22198304655829343</v>
      </c>
      <c r="V76">
        <v>0.29905953965372983</v>
      </c>
      <c r="W76">
        <v>0.34280618469426133</v>
      </c>
      <c r="X76">
        <v>4.4290879203940197</v>
      </c>
      <c r="Y76">
        <v>26.501149109546667</v>
      </c>
      <c r="Z76">
        <v>48.949418937201656</v>
      </c>
      <c r="AA76">
        <v>0</v>
      </c>
      <c r="AB76">
        <v>79.879655967142341</v>
      </c>
      <c r="AC76">
        <v>0.73884619973312027</v>
      </c>
    </row>
    <row r="77" spans="1:29" x14ac:dyDescent="0.25">
      <c r="A77">
        <v>76</v>
      </c>
      <c r="B77">
        <v>220</v>
      </c>
      <c r="C77">
        <v>0.8</v>
      </c>
      <c r="D77">
        <v>4.9923160654660927</v>
      </c>
      <c r="E77">
        <v>11308.481685506942</v>
      </c>
      <c r="F77">
        <v>0.8</v>
      </c>
      <c r="G77">
        <v>11308.481685506938</v>
      </c>
      <c r="H77">
        <v>4.9923160654660927</v>
      </c>
      <c r="I77">
        <v>0.23772933645076652</v>
      </c>
      <c r="J77">
        <v>1.5</v>
      </c>
      <c r="K77">
        <v>1</v>
      </c>
      <c r="L77">
        <v>3.6873940262738061E-2</v>
      </c>
      <c r="M77">
        <v>2.0553410903185205E-2</v>
      </c>
      <c r="N77">
        <v>1.0628376385524448E-2</v>
      </c>
      <c r="O77">
        <v>2.8137264441432028E-2</v>
      </c>
      <c r="P77">
        <v>318.18973961619969</v>
      </c>
      <c r="Q77">
        <v>316.78973961619971</v>
      </c>
      <c r="R77">
        <v>0</v>
      </c>
      <c r="S77">
        <v>0</v>
      </c>
      <c r="T77">
        <v>0.11797766888363979</v>
      </c>
      <c r="U77">
        <v>0.21641135993093341</v>
      </c>
      <c r="V77">
        <v>0.29575018901230438</v>
      </c>
      <c r="W77">
        <v>0.34170258983211471</v>
      </c>
      <c r="X77">
        <v>4.5900011852307276</v>
      </c>
      <c r="Y77">
        <v>26.234297155430781</v>
      </c>
      <c r="Z77">
        <v>48.724866203470249</v>
      </c>
      <c r="AA77">
        <v>0</v>
      </c>
      <c r="AB77">
        <v>79.549164544131756</v>
      </c>
      <c r="AC77">
        <v>0.59465911274196592</v>
      </c>
    </row>
    <row r="78" spans="1:29" x14ac:dyDescent="0.25">
      <c r="A78">
        <v>77</v>
      </c>
      <c r="B78">
        <v>221</v>
      </c>
      <c r="C78">
        <v>0.8</v>
      </c>
      <c r="D78">
        <v>5.8817429582953515</v>
      </c>
      <c r="E78">
        <v>11552.466679976575</v>
      </c>
      <c r="F78">
        <v>0.8</v>
      </c>
      <c r="G78">
        <v>11552.466679976571</v>
      </c>
      <c r="H78">
        <v>5.8817429582953515</v>
      </c>
      <c r="I78">
        <v>0.40933976836351194</v>
      </c>
      <c r="J78">
        <v>1.5</v>
      </c>
      <c r="K78">
        <v>1</v>
      </c>
      <c r="L78">
        <v>3.6583856959546149E-2</v>
      </c>
      <c r="M78">
        <v>2.0391719440754717E-2</v>
      </c>
      <c r="N78">
        <v>1.0544764097075974E-2</v>
      </c>
      <c r="O78">
        <v>2.7604645676089001E-2</v>
      </c>
      <c r="P78">
        <v>318.90174938557755</v>
      </c>
      <c r="Q78">
        <v>317.50174938557751</v>
      </c>
      <c r="R78">
        <v>0</v>
      </c>
      <c r="S78">
        <v>0</v>
      </c>
      <c r="T78">
        <v>0.15921682560087547</v>
      </c>
      <c r="U78">
        <v>0.20986468844498707</v>
      </c>
      <c r="V78">
        <v>0.29184135173156078</v>
      </c>
      <c r="W78">
        <v>0.34039461268221388</v>
      </c>
      <c r="X78">
        <v>4.7566353930831751</v>
      </c>
      <c r="Y78">
        <v>25.914921472696829</v>
      </c>
      <c r="Z78">
        <v>48.45854829079002</v>
      </c>
      <c r="AA78">
        <v>0</v>
      </c>
      <c r="AB78">
        <v>79.130105156570025</v>
      </c>
      <c r="AC78">
        <v>0.71200976937781102</v>
      </c>
    </row>
    <row r="79" spans="1:29" x14ac:dyDescent="0.25">
      <c r="A79">
        <v>78</v>
      </c>
      <c r="B79">
        <v>222</v>
      </c>
      <c r="C79">
        <v>0.8</v>
      </c>
      <c r="D79">
        <v>5.4459378697645651</v>
      </c>
      <c r="E79">
        <v>11764.348642429648</v>
      </c>
      <c r="F79">
        <v>0.8</v>
      </c>
      <c r="G79">
        <v>11764.348642429644</v>
      </c>
      <c r="H79">
        <v>5.4459378697645651</v>
      </c>
      <c r="I79">
        <v>0.28555748471320896</v>
      </c>
      <c r="J79">
        <v>1.5</v>
      </c>
      <c r="K79">
        <v>1</v>
      </c>
      <c r="L79">
        <v>3.6338669360136959E-2</v>
      </c>
      <c r="M79">
        <v>2.0255052693368483E-2</v>
      </c>
      <c r="N79">
        <v>1.0474092341548467E-2</v>
      </c>
      <c r="O79">
        <v>2.7164301065326708E-2</v>
      </c>
      <c r="P79">
        <v>319.5703083604264</v>
      </c>
      <c r="Q79">
        <v>318.17030836042642</v>
      </c>
      <c r="R79">
        <v>0</v>
      </c>
      <c r="S79">
        <v>0</v>
      </c>
      <c r="T79">
        <v>0.19734125555769846</v>
      </c>
      <c r="U79">
        <v>0.20382243584326196</v>
      </c>
      <c r="V79">
        <v>0.2882125315415679</v>
      </c>
      <c r="W79">
        <v>0.33917380973440281</v>
      </c>
      <c r="X79">
        <v>4.8998320020457182</v>
      </c>
      <c r="Y79">
        <v>25.617122632057178</v>
      </c>
      <c r="Z79">
        <v>48.210292605644732</v>
      </c>
      <c r="AA79">
        <v>0</v>
      </c>
      <c r="AB79">
        <v>78.727247239747626</v>
      </c>
      <c r="AC79">
        <v>0.6685589748488957</v>
      </c>
    </row>
    <row r="80" spans="1:29" x14ac:dyDescent="0.25">
      <c r="A80">
        <v>79</v>
      </c>
      <c r="B80">
        <v>223</v>
      </c>
      <c r="C80">
        <v>0.8</v>
      </c>
      <c r="D80">
        <v>5.0874930501736237</v>
      </c>
      <c r="E80">
        <v>11956.648639583214</v>
      </c>
      <c r="F80">
        <v>0.8</v>
      </c>
      <c r="G80">
        <v>11956.648639583213</v>
      </c>
      <c r="H80">
        <v>5.0874930501736237</v>
      </c>
      <c r="I80">
        <v>0.24226157381779181</v>
      </c>
      <c r="J80">
        <v>1.5</v>
      </c>
      <c r="K80">
        <v>1</v>
      </c>
      <c r="L80">
        <v>3.6121321911208093E-2</v>
      </c>
      <c r="M80">
        <v>2.0133903952692447E-2</v>
      </c>
      <c r="N80">
        <v>1.041144510403629E-2</v>
      </c>
      <c r="O80">
        <v>2.6780371191823967E-2</v>
      </c>
      <c r="P80">
        <v>320.20348877825546</v>
      </c>
      <c r="Q80">
        <v>318.80348877825543</v>
      </c>
      <c r="R80">
        <v>0</v>
      </c>
      <c r="S80">
        <v>0</v>
      </c>
      <c r="T80">
        <v>0.23288044956299889</v>
      </c>
      <c r="U80">
        <v>0.19820274247875549</v>
      </c>
      <c r="V80">
        <v>0.28480940559099899</v>
      </c>
      <c r="W80">
        <v>0.33802164294913095</v>
      </c>
      <c r="X80">
        <v>5.067977556158815</v>
      </c>
      <c r="Y80">
        <v>25.343174836552556</v>
      </c>
      <c r="Z80">
        <v>47.976286881361638</v>
      </c>
      <c r="AA80">
        <v>0</v>
      </c>
      <c r="AB80">
        <v>78.387439274073003</v>
      </c>
      <c r="AC80">
        <v>0.63318041782903234</v>
      </c>
    </row>
    <row r="81" spans="1:29" x14ac:dyDescent="0.25">
      <c r="A81">
        <v>80</v>
      </c>
      <c r="B81">
        <v>224</v>
      </c>
      <c r="C81">
        <v>0.8</v>
      </c>
      <c r="D81">
        <v>5.2138819969067285</v>
      </c>
      <c r="E81">
        <v>12134.574429601787</v>
      </c>
      <c r="F81">
        <v>0.8</v>
      </c>
      <c r="G81">
        <v>12134.574429601786</v>
      </c>
      <c r="H81">
        <v>5.2138819969067249</v>
      </c>
      <c r="I81">
        <v>0.24828009509079679</v>
      </c>
      <c r="J81">
        <v>1.5</v>
      </c>
      <c r="K81">
        <v>1</v>
      </c>
      <c r="L81">
        <v>3.5924443971500533E-2</v>
      </c>
      <c r="M81">
        <v>2.0024164847954811E-2</v>
      </c>
      <c r="N81">
        <v>1.0354697904515197E-2</v>
      </c>
      <c r="O81">
        <v>2.6442039588632334E-2</v>
      </c>
      <c r="P81">
        <v>320.86289745873603</v>
      </c>
      <c r="Q81">
        <v>319.46289745873599</v>
      </c>
      <c r="R81">
        <v>0</v>
      </c>
      <c r="S81">
        <v>0</v>
      </c>
      <c r="T81">
        <v>0.26921616750140331</v>
      </c>
      <c r="U81">
        <v>0.19247144179426184</v>
      </c>
      <c r="V81">
        <v>0.28130569531312422</v>
      </c>
      <c r="W81">
        <v>0.33682888991768589</v>
      </c>
      <c r="X81">
        <v>5.2511172134673885</v>
      </c>
      <c r="Y81">
        <v>25.062586401351105</v>
      </c>
      <c r="Z81">
        <v>47.734143832774357</v>
      </c>
      <c r="AA81">
        <v>0</v>
      </c>
      <c r="AB81">
        <v>78.047847447592858</v>
      </c>
      <c r="AC81">
        <v>0.65940868048057488</v>
      </c>
    </row>
    <row r="82" spans="1:29" x14ac:dyDescent="0.25">
      <c r="A82">
        <v>81</v>
      </c>
      <c r="B82">
        <v>225</v>
      </c>
      <c r="C82">
        <v>0.8</v>
      </c>
      <c r="D82">
        <v>5.1306420899007374</v>
      </c>
      <c r="E82">
        <v>12326.444715924541</v>
      </c>
      <c r="F82">
        <v>0.8</v>
      </c>
      <c r="G82">
        <v>12326.444715924537</v>
      </c>
      <c r="H82">
        <v>5.1306420899007348</v>
      </c>
      <c r="I82">
        <v>0.24431628999527341</v>
      </c>
      <c r="J82">
        <v>1.5</v>
      </c>
      <c r="K82">
        <v>1</v>
      </c>
      <c r="L82">
        <v>3.571652026402259E-2</v>
      </c>
      <c r="M82">
        <v>1.9908268869226808E-2</v>
      </c>
      <c r="N82">
        <v>1.0294766923263853E-2</v>
      </c>
      <c r="O82">
        <v>2.6084041141501771E-2</v>
      </c>
      <c r="P82">
        <v>321.52349109862274</v>
      </c>
      <c r="Q82">
        <v>320.12349109862276</v>
      </c>
      <c r="R82">
        <v>0</v>
      </c>
      <c r="S82">
        <v>0</v>
      </c>
      <c r="T82">
        <v>0.30485450758826399</v>
      </c>
      <c r="U82">
        <v>0.18686995596531336</v>
      </c>
      <c r="V82">
        <v>0.2778356948512703</v>
      </c>
      <c r="W82">
        <v>0.3356390920286868</v>
      </c>
      <c r="X82">
        <v>5.4385821388007658</v>
      </c>
      <c r="Y82">
        <v>24.786907108266046</v>
      </c>
      <c r="Z82">
        <v>47.492809063860634</v>
      </c>
      <c r="AA82">
        <v>0</v>
      </c>
      <c r="AB82">
        <v>77.718298310927452</v>
      </c>
      <c r="AC82">
        <v>0.66059363988672792</v>
      </c>
    </row>
    <row r="83" spans="1:29" x14ac:dyDescent="0.25">
      <c r="A83">
        <v>82</v>
      </c>
      <c r="B83">
        <v>226</v>
      </c>
      <c r="C83">
        <v>0.8</v>
      </c>
      <c r="D83">
        <v>6.0640206513410337</v>
      </c>
      <c r="E83">
        <v>12508.090445320726</v>
      </c>
      <c r="F83">
        <v>0.8</v>
      </c>
      <c r="G83">
        <v>12508.090445320722</v>
      </c>
      <c r="H83">
        <v>6.0640206513410329</v>
      </c>
      <c r="I83">
        <v>0.41948749692462051</v>
      </c>
      <c r="J83">
        <v>1.5</v>
      </c>
      <c r="K83">
        <v>1</v>
      </c>
      <c r="L83">
        <v>3.5523722073758493E-2</v>
      </c>
      <c r="M83">
        <v>1.9800803803176007E-2</v>
      </c>
      <c r="N83">
        <v>1.0239195652117509E-2</v>
      </c>
      <c r="O83">
        <v>2.5768823163464717E-2</v>
      </c>
      <c r="P83">
        <v>322.31877079809237</v>
      </c>
      <c r="Q83">
        <v>320.91877079809234</v>
      </c>
      <c r="R83">
        <v>0</v>
      </c>
      <c r="S83">
        <v>0</v>
      </c>
      <c r="T83">
        <v>0.34688777779855223</v>
      </c>
      <c r="U83">
        <v>0.18027771326829911</v>
      </c>
      <c r="V83">
        <v>0.27371571216884188</v>
      </c>
      <c r="W83">
        <v>0.33422327610544744</v>
      </c>
      <c r="X83">
        <v>5.5973966656819965</v>
      </c>
      <c r="Y83">
        <v>24.451142872669116</v>
      </c>
      <c r="Z83">
        <v>47.205300204928477</v>
      </c>
      <c r="AA83">
        <v>0</v>
      </c>
      <c r="AB83">
        <v>77.253839743279585</v>
      </c>
      <c r="AC83">
        <v>0.79527969946958932</v>
      </c>
    </row>
    <row r="84" spans="1:29" x14ac:dyDescent="0.25">
      <c r="A84">
        <v>83</v>
      </c>
      <c r="B84">
        <v>227</v>
      </c>
      <c r="C84">
        <v>0.79990127215673068</v>
      </c>
      <c r="D84">
        <v>4.7395353542999699</v>
      </c>
      <c r="E84">
        <v>12699.926479136286</v>
      </c>
      <c r="F84">
        <v>0.79990127215673068</v>
      </c>
      <c r="G84">
        <v>12699.926479136284</v>
      </c>
      <c r="H84">
        <v>4.739535354299969</v>
      </c>
      <c r="I84">
        <v>0.22572001579149728</v>
      </c>
      <c r="J84">
        <v>1.5</v>
      </c>
      <c r="K84">
        <v>1</v>
      </c>
      <c r="L84">
        <v>3.5324229028160931E-2</v>
      </c>
      <c r="M84">
        <v>1.9689607047166782E-2</v>
      </c>
      <c r="N84">
        <v>1.0181694686400317E-2</v>
      </c>
      <c r="O84">
        <v>2.542980478499951E-2</v>
      </c>
      <c r="P84">
        <v>322.95665114828182</v>
      </c>
      <c r="Q84">
        <v>321.55665114828184</v>
      </c>
      <c r="R84">
        <v>0</v>
      </c>
      <c r="S84">
        <v>0</v>
      </c>
      <c r="T84">
        <v>0.37942822688379035</v>
      </c>
      <c r="U84">
        <v>0.17522819181640056</v>
      </c>
      <c r="V84">
        <v>0.27043507006377976</v>
      </c>
      <c r="W84">
        <v>0.33307436895380815</v>
      </c>
      <c r="X84">
        <v>5.7524973641888337</v>
      </c>
      <c r="Y84">
        <v>24.187109502684837</v>
      </c>
      <c r="Z84">
        <v>46.972846628384787</v>
      </c>
      <c r="AA84">
        <v>0</v>
      </c>
      <c r="AB84">
        <v>76.912453495258461</v>
      </c>
      <c r="AC84">
        <v>0.63788035018948197</v>
      </c>
    </row>
    <row r="85" spans="1:29" x14ac:dyDescent="0.25">
      <c r="A85">
        <v>84</v>
      </c>
      <c r="B85">
        <v>228</v>
      </c>
      <c r="C85">
        <v>0.79691858185439279</v>
      </c>
      <c r="D85">
        <v>4.8003504345978092</v>
      </c>
      <c r="E85">
        <v>12907.123435349928</v>
      </c>
      <c r="F85">
        <v>0.79691858185439279</v>
      </c>
      <c r="G85">
        <v>12907.123435349926</v>
      </c>
      <c r="H85">
        <v>4.8003504345978101</v>
      </c>
      <c r="I85">
        <v>0.22947198987511622</v>
      </c>
      <c r="J85">
        <v>1.5</v>
      </c>
      <c r="K85">
        <v>1</v>
      </c>
      <c r="L85">
        <v>3.5113347697043634E-2</v>
      </c>
      <c r="M85">
        <v>1.9572062498919941E-2</v>
      </c>
      <c r="N85">
        <v>1.0120911213198785E-2</v>
      </c>
      <c r="O85">
        <v>2.5072675672556031E-2</v>
      </c>
      <c r="P85">
        <v>323.61611976017593</v>
      </c>
      <c r="Q85">
        <v>322.2161197601759</v>
      </c>
      <c r="R85">
        <v>0</v>
      </c>
      <c r="S85">
        <v>0</v>
      </c>
      <c r="T85">
        <v>0.41218544128475554</v>
      </c>
      <c r="U85">
        <v>0.17017941874172832</v>
      </c>
      <c r="V85">
        <v>0.26707126329964892</v>
      </c>
      <c r="W85">
        <v>0.33188624792341559</v>
      </c>
      <c r="X85">
        <v>5.8940010259871167</v>
      </c>
      <c r="Y85">
        <v>23.913970913607848</v>
      </c>
      <c r="Z85">
        <v>46.732591640836517</v>
      </c>
      <c r="AA85">
        <v>0</v>
      </c>
      <c r="AB85">
        <v>76.540563580431481</v>
      </c>
      <c r="AC85">
        <v>0.65946861189408734</v>
      </c>
    </row>
    <row r="86" spans="1:29" x14ac:dyDescent="0.25">
      <c r="A86">
        <v>85</v>
      </c>
      <c r="B86">
        <v>229</v>
      </c>
      <c r="C86">
        <v>0.79296533739680131</v>
      </c>
      <c r="D86">
        <v>4.5307975070554747</v>
      </c>
      <c r="E86">
        <v>13084.674325051128</v>
      </c>
      <c r="F86">
        <v>0.79296533739680131</v>
      </c>
      <c r="G86">
        <v>13084.674325051126</v>
      </c>
      <c r="H86">
        <v>4.5307975070554729</v>
      </c>
      <c r="I86">
        <v>0.21766627323108231</v>
      </c>
      <c r="J86">
        <v>1.5</v>
      </c>
      <c r="K86">
        <v>1</v>
      </c>
      <c r="L86">
        <v>3.4936296030468876E-2</v>
      </c>
      <c r="M86">
        <v>1.9473374492477567E-2</v>
      </c>
      <c r="N86">
        <v>1.0069878648231962E-2</v>
      </c>
      <c r="O86">
        <v>2.4781233216098514E-2</v>
      </c>
      <c r="P86">
        <v>324.25436600578837</v>
      </c>
      <c r="Q86">
        <v>322.85436600578839</v>
      </c>
      <c r="R86">
        <v>0</v>
      </c>
      <c r="S86">
        <v>0</v>
      </c>
      <c r="T86">
        <v>0.44279683423699939</v>
      </c>
      <c r="U86">
        <v>0.16551441292212868</v>
      </c>
      <c r="V86">
        <v>0.26383387654064466</v>
      </c>
      <c r="W86">
        <v>0.33072704548790854</v>
      </c>
      <c r="X86">
        <v>6.0282763557704886</v>
      </c>
      <c r="Y86">
        <v>23.650892729515483</v>
      </c>
      <c r="Z86">
        <v>46.498523849344259</v>
      </c>
      <c r="AA86">
        <v>0</v>
      </c>
      <c r="AB86">
        <v>76.17769293463023</v>
      </c>
      <c r="AC86">
        <v>0.6382462456124699</v>
      </c>
    </row>
    <row r="87" spans="1:29" x14ac:dyDescent="0.25">
      <c r="A87">
        <v>86</v>
      </c>
      <c r="B87">
        <v>230</v>
      </c>
      <c r="C87">
        <v>0.78774059533742791</v>
      </c>
      <c r="D87">
        <v>4.4953038328057051</v>
      </c>
      <c r="E87">
        <v>13261.529705704956</v>
      </c>
      <c r="F87">
        <v>0.78774059533742791</v>
      </c>
      <c r="G87">
        <v>13261.529705704954</v>
      </c>
      <c r="H87">
        <v>4.4953038328057051</v>
      </c>
      <c r="I87">
        <v>0.2173934805883847</v>
      </c>
      <c r="J87">
        <v>1.5</v>
      </c>
      <c r="K87">
        <v>1</v>
      </c>
      <c r="L87">
        <v>3.4763180075942951E-2</v>
      </c>
      <c r="M87">
        <v>1.9376880238760288E-2</v>
      </c>
      <c r="N87">
        <v>1.0019980494958114E-2</v>
      </c>
      <c r="O87">
        <v>2.4499662257039461E-2</v>
      </c>
      <c r="P87">
        <v>324.90299880146728</v>
      </c>
      <c r="Q87">
        <v>323.50299880146724</v>
      </c>
      <c r="R87">
        <v>0</v>
      </c>
      <c r="S87">
        <v>0</v>
      </c>
      <c r="T87">
        <v>0.47287012627639607</v>
      </c>
      <c r="U87">
        <v>0.16098325421140847</v>
      </c>
      <c r="V87">
        <v>0.26055995059138848</v>
      </c>
      <c r="W87">
        <v>0.32954152248227347</v>
      </c>
      <c r="X87">
        <v>6.1605136199213826</v>
      </c>
      <c r="Y87">
        <v>23.385245110295934</v>
      </c>
      <c r="Z87">
        <v>46.259324325481757</v>
      </c>
      <c r="AA87">
        <v>0</v>
      </c>
      <c r="AB87">
        <v>75.805083055699072</v>
      </c>
      <c r="AC87">
        <v>0.6486327956788801</v>
      </c>
    </row>
    <row r="88" spans="1:29" x14ac:dyDescent="0.25">
      <c r="A88">
        <v>87</v>
      </c>
      <c r="B88">
        <v>231</v>
      </c>
      <c r="C88">
        <v>0.78086127619456547</v>
      </c>
      <c r="D88">
        <v>4.422517526119301</v>
      </c>
      <c r="E88">
        <v>13443.131277003882</v>
      </c>
      <c r="F88">
        <v>0.78086127619456547</v>
      </c>
      <c r="G88">
        <v>13443.131277003878</v>
      </c>
      <c r="H88">
        <v>4.4225175261193019</v>
      </c>
      <c r="I88">
        <v>0.21575773222989114</v>
      </c>
      <c r="J88">
        <v>1.5</v>
      </c>
      <c r="K88">
        <v>1</v>
      </c>
      <c r="L88">
        <v>3.4588678986508255E-2</v>
      </c>
      <c r="M88">
        <v>1.9279613915480238E-2</v>
      </c>
      <c r="N88">
        <v>9.9696830967147751E-3</v>
      </c>
      <c r="O88">
        <v>2.4217446559689704E-2</v>
      </c>
      <c r="P88">
        <v>325.55831329573465</v>
      </c>
      <c r="Q88">
        <v>324.15831329573467</v>
      </c>
      <c r="R88">
        <v>0</v>
      </c>
      <c r="S88">
        <v>0</v>
      </c>
      <c r="T88">
        <v>0.50209673415566269</v>
      </c>
      <c r="U88">
        <v>0.15664276603560179</v>
      </c>
      <c r="V88">
        <v>0.25726407040423754</v>
      </c>
      <c r="W88">
        <v>0.3283328557929926</v>
      </c>
      <c r="X88">
        <v>4.1594689549598813</v>
      </c>
      <c r="Y88">
        <v>21.832238927439619</v>
      </c>
      <c r="Z88">
        <v>49.331567618757738</v>
      </c>
      <c r="AA88">
        <v>0</v>
      </c>
      <c r="AB88">
        <v>75.323275501157241</v>
      </c>
      <c r="AC88">
        <v>0.65531449426739496</v>
      </c>
    </row>
    <row r="89" spans="1:29" x14ac:dyDescent="0.25">
      <c r="A89">
        <v>88</v>
      </c>
      <c r="B89">
        <v>232</v>
      </c>
      <c r="C89">
        <v>0.77184804773842763</v>
      </c>
      <c r="D89">
        <v>2.3717802037790512</v>
      </c>
      <c r="E89">
        <v>13566.288558225908</v>
      </c>
      <c r="F89">
        <v>0.77184804773842763</v>
      </c>
      <c r="G89">
        <v>13566.288558225906</v>
      </c>
      <c r="H89">
        <v>2.3717802037790516</v>
      </c>
      <c r="I89">
        <v>0.11706129443130403</v>
      </c>
      <c r="J89">
        <v>1.5</v>
      </c>
      <c r="K89">
        <v>1</v>
      </c>
      <c r="L89">
        <v>3.4472164202120938E-2</v>
      </c>
      <c r="M89">
        <v>1.9214668964581443E-2</v>
      </c>
      <c r="N89">
        <v>9.9360994066040095E-3</v>
      </c>
      <c r="O89">
        <v>2.4032352994985604E-2</v>
      </c>
      <c r="P89">
        <v>326.0298354631193</v>
      </c>
      <c r="Q89">
        <v>324.62983546311926</v>
      </c>
      <c r="R89">
        <v>0</v>
      </c>
      <c r="S89">
        <v>0</v>
      </c>
      <c r="T89">
        <v>1.6760512543191334E-2</v>
      </c>
      <c r="U89">
        <v>0.23249797460326665</v>
      </c>
      <c r="V89">
        <v>0.30531985672366418</v>
      </c>
      <c r="W89">
        <v>0.34488833239176248</v>
      </c>
      <c r="X89">
        <v>4.366568580665767</v>
      </c>
      <c r="Y89">
        <v>21.755880168899711</v>
      </c>
      <c r="Z89">
        <v>48.996160697275677</v>
      </c>
      <c r="AA89">
        <v>0</v>
      </c>
      <c r="AB89">
        <v>75.118609446841162</v>
      </c>
      <c r="AC89">
        <v>0.47152216738462205</v>
      </c>
    </row>
    <row r="90" spans="1:29" x14ac:dyDescent="0.25">
      <c r="A90">
        <v>89</v>
      </c>
      <c r="B90">
        <v>233</v>
      </c>
      <c r="C90">
        <v>0.76011512543206383</v>
      </c>
      <c r="D90">
        <v>4.0825007610165951</v>
      </c>
      <c r="E90">
        <v>13742.044201492436</v>
      </c>
      <c r="F90">
        <v>0.76011512543206383</v>
      </c>
      <c r="G90">
        <v>13742.044201492434</v>
      </c>
      <c r="H90">
        <v>4.0825007610165951</v>
      </c>
      <c r="I90">
        <v>0.20460563579301916</v>
      </c>
      <c r="J90">
        <v>1.5</v>
      </c>
      <c r="K90">
        <v>1</v>
      </c>
      <c r="L90">
        <v>3.4308374510593626E-2</v>
      </c>
      <c r="M90">
        <v>1.9123373138649095E-2</v>
      </c>
      <c r="N90">
        <v>9.8888894128464303E-3</v>
      </c>
      <c r="O90">
        <v>2.3755775343809453E-2</v>
      </c>
      <c r="P90">
        <v>326.45291481535361</v>
      </c>
      <c r="Q90">
        <v>325.05291481535357</v>
      </c>
      <c r="R90">
        <v>0</v>
      </c>
      <c r="S90">
        <v>0</v>
      </c>
      <c r="T90">
        <v>4.5489051634635756E-2</v>
      </c>
      <c r="U90">
        <v>0.22792169264951623</v>
      </c>
      <c r="V90">
        <v>0.30262353752867244</v>
      </c>
      <c r="W90">
        <v>0.34399593201847145</v>
      </c>
      <c r="X90">
        <v>4.5593319569765507</v>
      </c>
      <c r="Y90">
        <v>21.598460593690319</v>
      </c>
      <c r="Z90">
        <v>48.816380402167987</v>
      </c>
      <c r="AA90">
        <v>0</v>
      </c>
      <c r="AB90">
        <v>74.974172952834863</v>
      </c>
      <c r="AC90">
        <v>0.42307935223431792</v>
      </c>
    </row>
    <row r="91" spans="1:29" x14ac:dyDescent="0.25">
      <c r="A91">
        <v>90</v>
      </c>
      <c r="B91">
        <v>234</v>
      </c>
      <c r="C91">
        <v>0.74496979238249172</v>
      </c>
      <c r="D91">
        <v>4.1520784007667642</v>
      </c>
      <c r="E91">
        <v>13923.812220134059</v>
      </c>
      <c r="F91">
        <v>0.74496979238249172</v>
      </c>
      <c r="G91">
        <v>13923.812220134057</v>
      </c>
      <c r="H91">
        <v>4.152078400766765</v>
      </c>
      <c r="I91">
        <v>0.2123232604659672</v>
      </c>
      <c r="J91">
        <v>1.5</v>
      </c>
      <c r="K91">
        <v>1</v>
      </c>
      <c r="L91">
        <v>3.4141973433837895E-2</v>
      </c>
      <c r="M91">
        <v>1.9030621735329468E-2</v>
      </c>
      <c r="N91">
        <v>9.8409267253192819E-3</v>
      </c>
      <c r="O91">
        <v>2.3477087160009343E-2</v>
      </c>
      <c r="P91">
        <v>326.89055309169044</v>
      </c>
      <c r="Q91">
        <v>325.49055309169046</v>
      </c>
      <c r="R91">
        <v>0</v>
      </c>
      <c r="S91">
        <v>0</v>
      </c>
      <c r="T91">
        <v>7.4682118002900089E-2</v>
      </c>
      <c r="U91">
        <v>0.22327517683515991</v>
      </c>
      <c r="V91">
        <v>0.29987764657653443</v>
      </c>
      <c r="W91">
        <v>0.34308418198343216</v>
      </c>
      <c r="X91">
        <v>4.7580114073133668</v>
      </c>
      <c r="Y91">
        <v>21.438655493138285</v>
      </c>
      <c r="Z91">
        <v>48.632772295216022</v>
      </c>
      <c r="AA91">
        <v>0</v>
      </c>
      <c r="AB91">
        <v>74.829439195667675</v>
      </c>
      <c r="AC91">
        <v>0.43763827633686025</v>
      </c>
    </row>
    <row r="92" spans="1:29" x14ac:dyDescent="0.25">
      <c r="A92">
        <v>91</v>
      </c>
      <c r="B92">
        <v>235</v>
      </c>
      <c r="C92">
        <v>0.72563045777350488</v>
      </c>
      <c r="D92">
        <v>4.0705978405196426</v>
      </c>
      <c r="E92">
        <v>14080.71139960857</v>
      </c>
      <c r="F92">
        <v>0.72563045777350488</v>
      </c>
      <c r="G92">
        <v>14080.711399608568</v>
      </c>
      <c r="H92">
        <v>4.0705978405196435</v>
      </c>
      <c r="I92">
        <v>0.21370436185985017</v>
      </c>
      <c r="J92">
        <v>1.5</v>
      </c>
      <c r="K92">
        <v>1</v>
      </c>
      <c r="L92">
        <v>3.4000714024246911E-2</v>
      </c>
      <c r="M92">
        <v>1.8951884213150458E-2</v>
      </c>
      <c r="N92">
        <v>9.8002107572824418E-3</v>
      </c>
      <c r="O92">
        <v>2.3246456111142823E-2</v>
      </c>
      <c r="P92">
        <v>327.32663956466899</v>
      </c>
      <c r="Q92">
        <v>325.92663956466902</v>
      </c>
      <c r="R92">
        <v>0</v>
      </c>
      <c r="S92">
        <v>0</v>
      </c>
      <c r="T92">
        <v>0.10327750429567127</v>
      </c>
      <c r="U92">
        <v>0.21872766796631876</v>
      </c>
      <c r="V92">
        <v>0.29718201496402458</v>
      </c>
      <c r="W92">
        <v>0.34218612678374399</v>
      </c>
      <c r="X92">
        <v>4.959673469744776</v>
      </c>
      <c r="Y92">
        <v>21.282850737036455</v>
      </c>
      <c r="Z92">
        <v>48.452026556131884</v>
      </c>
      <c r="AA92">
        <v>0</v>
      </c>
      <c r="AB92">
        <v>74.69455076291311</v>
      </c>
      <c r="AC92">
        <v>0.43608647297854741</v>
      </c>
    </row>
    <row r="93" spans="1:29" x14ac:dyDescent="0.25">
      <c r="A93">
        <v>92</v>
      </c>
      <c r="B93">
        <v>236</v>
      </c>
      <c r="C93">
        <v>0.70127484767430204</v>
      </c>
      <c r="D93">
        <v>3.3656751871163491</v>
      </c>
      <c r="E93">
        <v>14259.682699511597</v>
      </c>
      <c r="F93">
        <v>0.70127484767430204</v>
      </c>
      <c r="G93">
        <v>14259.682699511595</v>
      </c>
      <c r="H93">
        <v>3.3656751871163499</v>
      </c>
      <c r="I93">
        <v>0.18283301907896274</v>
      </c>
      <c r="J93">
        <v>1.5</v>
      </c>
      <c r="K93">
        <v>1</v>
      </c>
      <c r="L93">
        <v>3.3842192346924288E-2</v>
      </c>
      <c r="M93">
        <v>1.8863524760706307E-2</v>
      </c>
      <c r="N93">
        <v>9.7545191919155595E-3</v>
      </c>
      <c r="O93">
        <v>2.2980331561034888E-2</v>
      </c>
      <c r="P93">
        <v>327.69223638992946</v>
      </c>
      <c r="Q93">
        <v>326.29223638992949</v>
      </c>
      <c r="R93">
        <v>0</v>
      </c>
      <c r="S93">
        <v>0</v>
      </c>
      <c r="T93">
        <v>0.12690555896615763</v>
      </c>
      <c r="U93">
        <v>0.21497302658835071</v>
      </c>
      <c r="V93">
        <v>0.29495146726221305</v>
      </c>
      <c r="W93">
        <v>0.34143996548929079</v>
      </c>
      <c r="X93">
        <v>5.1261051314467689</v>
      </c>
      <c r="Y93">
        <v>21.154146441451804</v>
      </c>
      <c r="Z93">
        <v>48.3020869545987</v>
      </c>
      <c r="AA93">
        <v>0</v>
      </c>
      <c r="AB93">
        <v>74.582338527497271</v>
      </c>
      <c r="AC93">
        <v>0.36559682526048076</v>
      </c>
    </row>
    <row r="94" spans="1:29" x14ac:dyDescent="0.25">
      <c r="A94">
        <v>93</v>
      </c>
      <c r="B94">
        <v>237</v>
      </c>
      <c r="C94">
        <v>0.67113041549063779</v>
      </c>
      <c r="D94">
        <v>2.7305304500767895</v>
      </c>
      <c r="E94">
        <v>14394.537743452056</v>
      </c>
      <c r="F94">
        <v>0.67113041549063779</v>
      </c>
      <c r="G94">
        <v>14394.537743452054</v>
      </c>
      <c r="H94">
        <v>2.73053045007679</v>
      </c>
      <c r="I94">
        <v>0.15499253978219382</v>
      </c>
      <c r="J94">
        <v>1.5</v>
      </c>
      <c r="K94">
        <v>1</v>
      </c>
      <c r="L94">
        <v>3.3724535832545879E-2</v>
      </c>
      <c r="M94">
        <v>1.8797943413331294E-2</v>
      </c>
      <c r="N94">
        <v>9.7206064147587808E-3</v>
      </c>
      <c r="O94">
        <v>2.2785794265876139E-2</v>
      </c>
      <c r="P94">
        <v>327.99097557468747</v>
      </c>
      <c r="Q94">
        <v>326.59097557468743</v>
      </c>
      <c r="R94">
        <v>0</v>
      </c>
      <c r="S94">
        <v>0</v>
      </c>
      <c r="T94">
        <v>0.12954010214619224</v>
      </c>
      <c r="U94">
        <v>0.21514016703406882</v>
      </c>
      <c r="V94">
        <v>0.29314845439629578</v>
      </c>
      <c r="W94">
        <v>0.34083372186607808</v>
      </c>
      <c r="X94">
        <v>5.3057579075426835</v>
      </c>
      <c r="Y94">
        <v>21.056956277725234</v>
      </c>
      <c r="Z94">
        <v>48.18047003605389</v>
      </c>
      <c r="AA94">
        <v>0</v>
      </c>
      <c r="AB94">
        <v>74.543184221321809</v>
      </c>
      <c r="AC94">
        <v>0.29873918475795125</v>
      </c>
    </row>
    <row r="95" spans="1:29" x14ac:dyDescent="0.25">
      <c r="A95">
        <v>94</v>
      </c>
      <c r="B95">
        <v>238</v>
      </c>
      <c r="C95">
        <v>0.63461379170326004</v>
      </c>
      <c r="D95">
        <v>3.8438913097430638</v>
      </c>
      <c r="E95">
        <v>14545.977436894851</v>
      </c>
      <c r="F95">
        <v>0.63461379170326004</v>
      </c>
      <c r="G95">
        <v>14545.977436894847</v>
      </c>
      <c r="H95">
        <v>3.8438913097430625</v>
      </c>
      <c r="I95">
        <v>0.24514510773893025</v>
      </c>
      <c r="J95">
        <v>1.5</v>
      </c>
      <c r="K95">
        <v>1</v>
      </c>
      <c r="L95">
        <v>3.3594196785785138E-2</v>
      </c>
      <c r="M95">
        <v>1.8725292864848683E-2</v>
      </c>
      <c r="N95">
        <v>9.683038082304125E-3</v>
      </c>
      <c r="O95">
        <v>2.2577984876942354E-2</v>
      </c>
      <c r="P95">
        <v>328.41885859055662</v>
      </c>
      <c r="Q95">
        <v>327.01885859055659</v>
      </c>
      <c r="R95">
        <v>0</v>
      </c>
      <c r="S95">
        <v>0</v>
      </c>
      <c r="T95">
        <v>0.15651023998168784</v>
      </c>
      <c r="U95">
        <v>0.21085838992103079</v>
      </c>
      <c r="V95">
        <v>0.29059933862688725</v>
      </c>
      <c r="W95">
        <v>0.33997683212903856</v>
      </c>
      <c r="X95">
        <v>5.4993478759647205</v>
      </c>
      <c r="Y95">
        <v>20.910318559219405</v>
      </c>
      <c r="Z95">
        <v>48.008247993693793</v>
      </c>
      <c r="AA95">
        <v>0</v>
      </c>
      <c r="AB95">
        <v>74.417914428877921</v>
      </c>
      <c r="AC95">
        <v>0.42788301586917099</v>
      </c>
    </row>
    <row r="96" spans="1:29" x14ac:dyDescent="0.25">
      <c r="A96">
        <v>95</v>
      </c>
      <c r="B96">
        <v>239</v>
      </c>
      <c r="C96">
        <v>0.59151115827575684</v>
      </c>
      <c r="D96">
        <v>2.4665472083020865</v>
      </c>
      <c r="E96">
        <v>14664.637333116754</v>
      </c>
      <c r="F96">
        <v>0.59151115827575684</v>
      </c>
      <c r="G96">
        <v>14664.637333116752</v>
      </c>
      <c r="H96">
        <v>2.4665472083020861</v>
      </c>
      <c r="I96">
        <v>0.15885364436288088</v>
      </c>
      <c r="J96">
        <v>1.5</v>
      </c>
      <c r="K96">
        <v>1</v>
      </c>
      <c r="L96">
        <v>3.3493362310276747E-2</v>
      </c>
      <c r="M96">
        <v>1.8669088065644587E-2</v>
      </c>
      <c r="N96">
        <v>9.6539740129178899E-3</v>
      </c>
      <c r="O96">
        <v>2.241423209158416E-2</v>
      </c>
      <c r="P96">
        <v>328.69658472338864</v>
      </c>
      <c r="Q96">
        <v>327.29658472338866</v>
      </c>
      <c r="R96">
        <v>0</v>
      </c>
      <c r="S96">
        <v>0</v>
      </c>
      <c r="T96">
        <v>0.17380311090701289</v>
      </c>
      <c r="U96">
        <v>0.20811707818714051</v>
      </c>
      <c r="V96">
        <v>0.28896291910074795</v>
      </c>
      <c r="W96">
        <v>0.33942146897246406</v>
      </c>
      <c r="X96">
        <v>5.645099649459933</v>
      </c>
      <c r="Y96">
        <v>20.819665387143857</v>
      </c>
      <c r="Z96">
        <v>47.896998691579718</v>
      </c>
      <c r="AA96">
        <v>0</v>
      </c>
      <c r="AB96">
        <v>74.361763728183504</v>
      </c>
      <c r="AC96">
        <v>0.27772613283204295</v>
      </c>
    </row>
    <row r="97" spans="1:29" x14ac:dyDescent="0.25">
      <c r="A97">
        <v>96</v>
      </c>
      <c r="B97">
        <v>240</v>
      </c>
      <c r="C97">
        <v>0.5421659752117941</v>
      </c>
      <c r="D97">
        <v>1.828932818172033</v>
      </c>
      <c r="E97">
        <v>14760.73398941965</v>
      </c>
      <c r="F97">
        <v>0.5421659752117941</v>
      </c>
      <c r="G97">
        <v>14760.733989419648</v>
      </c>
      <c r="H97">
        <v>1.8289328181720328</v>
      </c>
      <c r="I97">
        <v>0.12850978179005201</v>
      </c>
      <c r="J97">
        <v>1.5</v>
      </c>
      <c r="K97">
        <v>1</v>
      </c>
      <c r="L97">
        <v>3.3412517217179701E-2</v>
      </c>
      <c r="M97">
        <v>1.8624025281301762E-2</v>
      </c>
      <c r="N97">
        <v>9.6306715919605469E-3</v>
      </c>
      <c r="O97">
        <v>2.2282403067690006E-2</v>
      </c>
      <c r="P97">
        <v>328.90462432720051</v>
      </c>
      <c r="Q97">
        <v>327.50462432720047</v>
      </c>
      <c r="R97">
        <v>0</v>
      </c>
      <c r="S97">
        <v>0</v>
      </c>
      <c r="T97">
        <v>0.18661007492006723</v>
      </c>
      <c r="U97">
        <v>0.20609062082724633</v>
      </c>
      <c r="V97">
        <v>0.28774768151856589</v>
      </c>
      <c r="W97">
        <v>0.33900529827819614</v>
      </c>
      <c r="X97">
        <v>5.8090192703395784</v>
      </c>
      <c r="Y97">
        <v>20.760617092143718</v>
      </c>
      <c r="Z97">
        <v>47.813822080871518</v>
      </c>
      <c r="AA97">
        <v>0</v>
      </c>
      <c r="AB97">
        <v>74.383458443354812</v>
      </c>
      <c r="AC97">
        <v>0.20803960381184095</v>
      </c>
    </row>
    <row r="98" spans="1:29" x14ac:dyDescent="0.25">
      <c r="A98">
        <v>97</v>
      </c>
      <c r="B98">
        <v>241</v>
      </c>
      <c r="C98">
        <v>0.48761224272084092</v>
      </c>
      <c r="D98">
        <v>2.2998056555478694</v>
      </c>
      <c r="E98">
        <v>14872.825242028983</v>
      </c>
      <c r="F98">
        <v>0.48761224272084092</v>
      </c>
      <c r="G98">
        <v>14872.825242028979</v>
      </c>
      <c r="H98">
        <v>2.299805655547869</v>
      </c>
      <c r="I98">
        <v>0.17967482426611073</v>
      </c>
      <c r="J98">
        <v>1.5</v>
      </c>
      <c r="K98">
        <v>1</v>
      </c>
      <c r="L98">
        <v>3.3319122306218203E-2</v>
      </c>
      <c r="M98">
        <v>1.8571967270479474E-2</v>
      </c>
      <c r="N98">
        <v>9.6037518687327496E-3</v>
      </c>
      <c r="O98">
        <v>2.2132247143321539E-2</v>
      </c>
      <c r="P98">
        <v>329.16904397601638</v>
      </c>
      <c r="Q98">
        <v>327.76904397601635</v>
      </c>
      <c r="R98">
        <v>0</v>
      </c>
      <c r="S98">
        <v>0</v>
      </c>
      <c r="T98">
        <v>0.20270099998103008</v>
      </c>
      <c r="U98">
        <v>0.20354503154223563</v>
      </c>
      <c r="V98">
        <v>0.28621571399986845</v>
      </c>
      <c r="W98">
        <v>0.33848324377080857</v>
      </c>
      <c r="X98">
        <v>5.965410630439095</v>
      </c>
      <c r="Y98">
        <v>20.678689473152875</v>
      </c>
      <c r="Z98">
        <v>47.70929151490526</v>
      </c>
      <c r="AA98">
        <v>0</v>
      </c>
      <c r="AB98">
        <v>74.353391618497227</v>
      </c>
      <c r="AC98">
        <v>0.26441964881586399</v>
      </c>
    </row>
    <row r="99" spans="1:29" x14ac:dyDescent="0.25">
      <c r="A99">
        <v>98</v>
      </c>
      <c r="B99">
        <v>242</v>
      </c>
      <c r="C99">
        <v>0.42957950597741984</v>
      </c>
      <c r="D99">
        <v>1.8992289298191771</v>
      </c>
      <c r="E99">
        <v>14960.120402029097</v>
      </c>
      <c r="F99">
        <v>0.42957950597741984</v>
      </c>
      <c r="G99">
        <v>14960.120402029095</v>
      </c>
      <c r="H99">
        <v>1.8992289298191769</v>
      </c>
      <c r="I99">
        <v>0.16842418521387481</v>
      </c>
      <c r="J99">
        <v>1.5</v>
      </c>
      <c r="K99">
        <v>1</v>
      </c>
      <c r="L99">
        <v>3.3247052985830201E-2</v>
      </c>
      <c r="M99">
        <v>1.85317960724764E-2</v>
      </c>
      <c r="N99">
        <v>9.5829789364810063E-3</v>
      </c>
      <c r="O99">
        <v>2.201785270863767E-2</v>
      </c>
      <c r="P99">
        <v>329.38972751536198</v>
      </c>
      <c r="Q99">
        <v>327.98972751536195</v>
      </c>
      <c r="R99">
        <v>0</v>
      </c>
      <c r="S99">
        <v>0</v>
      </c>
      <c r="T99">
        <v>0.21597154735645796</v>
      </c>
      <c r="U99">
        <v>0.20144902530314779</v>
      </c>
      <c r="V99">
        <v>0.28494765922245308</v>
      </c>
      <c r="W99">
        <v>0.3380488469276734</v>
      </c>
      <c r="X99">
        <v>6.1264303129851747</v>
      </c>
      <c r="Y99">
        <v>20.615541339085762</v>
      </c>
      <c r="Z99">
        <v>47.622415510006725</v>
      </c>
      <c r="AA99">
        <v>0</v>
      </c>
      <c r="AB99">
        <v>74.364387162077662</v>
      </c>
      <c r="AC99">
        <v>0.22068353934562301</v>
      </c>
    </row>
    <row r="100" spans="1:29" x14ac:dyDescent="0.25">
      <c r="A100">
        <v>99</v>
      </c>
      <c r="B100">
        <v>243</v>
      </c>
      <c r="C100">
        <v>0.37032176617931084</v>
      </c>
      <c r="D100">
        <v>1.6261580053557492</v>
      </c>
      <c r="E100">
        <v>15031.713648192981</v>
      </c>
      <c r="F100">
        <v>0.37032176617931084</v>
      </c>
      <c r="G100">
        <v>15031.713648192979</v>
      </c>
      <c r="H100">
        <v>1.6261580053557487</v>
      </c>
      <c r="I100">
        <v>0.16728391915399571</v>
      </c>
      <c r="J100">
        <v>1.5</v>
      </c>
      <c r="K100">
        <v>1</v>
      </c>
      <c r="L100">
        <v>3.3188375539235683E-2</v>
      </c>
      <c r="M100">
        <v>1.8499089460109683E-2</v>
      </c>
      <c r="N100">
        <v>9.5660660168606897E-3</v>
      </c>
      <c r="O100">
        <v>2.1925683793196364E-2</v>
      </c>
      <c r="P100">
        <v>329.58060032015339</v>
      </c>
      <c r="Q100">
        <v>328.18060032015336</v>
      </c>
      <c r="R100">
        <v>0</v>
      </c>
      <c r="S100">
        <v>0</v>
      </c>
      <c r="T100">
        <v>0.22732074373257019</v>
      </c>
      <c r="U100">
        <v>0.19965887909690005</v>
      </c>
      <c r="V100">
        <v>0.28385954465645674</v>
      </c>
      <c r="W100">
        <v>0.337674791689206</v>
      </c>
      <c r="X100">
        <v>6.3339585837164085</v>
      </c>
      <c r="Y100">
        <v>20.571553798868059</v>
      </c>
      <c r="Z100">
        <v>47.547660949647764</v>
      </c>
      <c r="AA100">
        <v>0</v>
      </c>
      <c r="AB100">
        <v>74.453173332232225</v>
      </c>
      <c r="AC100">
        <v>0.19087280479140878</v>
      </c>
    </row>
    <row r="101" spans="1:29" x14ac:dyDescent="0.25">
      <c r="A101">
        <v>100</v>
      </c>
      <c r="B101">
        <v>244</v>
      </c>
      <c r="C101">
        <v>0.31228902943588976</v>
      </c>
      <c r="D101">
        <v>1.5722183780617838</v>
      </c>
      <c r="E101">
        <v>15096.093124311607</v>
      </c>
      <c r="F101">
        <v>0.31228902943588976</v>
      </c>
      <c r="G101">
        <v>15096.093124311605</v>
      </c>
      <c r="H101">
        <v>1.5722183780617838</v>
      </c>
      <c r="I101">
        <v>0.19179038584276764</v>
      </c>
      <c r="J101">
        <v>1.5</v>
      </c>
      <c r="K101">
        <v>1</v>
      </c>
      <c r="L101">
        <v>3.3135936470635521E-2</v>
      </c>
      <c r="M101">
        <v>1.8469860098760185E-2</v>
      </c>
      <c r="N101">
        <v>9.5509512188646645E-3</v>
      </c>
      <c r="O101">
        <v>2.1844533984047034E-2</v>
      </c>
      <c r="P101">
        <v>329.7671192803636</v>
      </c>
      <c r="Q101">
        <v>328.36711928036362</v>
      </c>
      <c r="R101">
        <v>0</v>
      </c>
      <c r="S101">
        <v>0</v>
      </c>
      <c r="T101">
        <v>0.23828810072915141</v>
      </c>
      <c r="U101">
        <v>0.19792949077311861</v>
      </c>
      <c r="V101">
        <v>0.28280614796133369</v>
      </c>
      <c r="W101">
        <v>0.33731313995198697</v>
      </c>
      <c r="X101">
        <v>6.5632392716584791</v>
      </c>
      <c r="Y101">
        <v>20.533189023539681</v>
      </c>
      <c r="Z101">
        <v>47.475359384196679</v>
      </c>
      <c r="AA101">
        <v>0</v>
      </c>
      <c r="AB101">
        <v>74.571787679394845</v>
      </c>
      <c r="AC101">
        <v>0.1865189602102274</v>
      </c>
    </row>
    <row r="102" spans="1:29" x14ac:dyDescent="0.25">
      <c r="A102">
        <v>101</v>
      </c>
      <c r="B102">
        <v>245</v>
      </c>
      <c r="C102">
        <v>0.25773529694493635</v>
      </c>
      <c r="D102">
        <v>0.61674195851100344</v>
      </c>
      <c r="E102">
        <v>15131.7982113037</v>
      </c>
      <c r="F102">
        <v>0.25773529694493635</v>
      </c>
      <c r="G102">
        <v>15131.798211303698</v>
      </c>
      <c r="H102">
        <v>0.61674195851100333</v>
      </c>
      <c r="I102">
        <v>9.1159154494154085E-2</v>
      </c>
      <c r="J102">
        <v>1.5</v>
      </c>
      <c r="K102">
        <v>1</v>
      </c>
      <c r="L102">
        <v>3.3106985467106609E-2</v>
      </c>
      <c r="M102">
        <v>1.845372290627819E-2</v>
      </c>
      <c r="N102">
        <v>9.5426065136324182E-3</v>
      </c>
      <c r="O102">
        <v>2.1797939258867242E-2</v>
      </c>
      <c r="P102">
        <v>329.84201828743397</v>
      </c>
      <c r="Q102">
        <v>328.442018287434</v>
      </c>
      <c r="R102">
        <v>0</v>
      </c>
      <c r="S102">
        <v>0</v>
      </c>
      <c r="T102">
        <v>0.24256276148673531</v>
      </c>
      <c r="U102">
        <v>0.1972616392300546</v>
      </c>
      <c r="V102">
        <v>0.28238902731343957</v>
      </c>
      <c r="W102">
        <v>0.33716462822592314</v>
      </c>
      <c r="X102">
        <v>6.7630518984773138</v>
      </c>
      <c r="Y102">
        <v>20.533847015818328</v>
      </c>
      <c r="Z102">
        <v>47.445878763847041</v>
      </c>
      <c r="AA102">
        <v>0</v>
      </c>
      <c r="AB102">
        <v>74.742777678142687</v>
      </c>
      <c r="AC102">
        <v>7.4899007070361456E-2</v>
      </c>
    </row>
    <row r="103" spans="1:29" x14ac:dyDescent="0.25">
      <c r="A103">
        <v>102</v>
      </c>
      <c r="B103">
        <v>246</v>
      </c>
      <c r="C103">
        <v>0.20839011388097384</v>
      </c>
      <c r="D103">
        <v>0.4304808708320999</v>
      </c>
      <c r="E103">
        <v>15162.237805597348</v>
      </c>
      <c r="F103">
        <v>0.20839011388097384</v>
      </c>
      <c r="G103">
        <v>15162.237805597346</v>
      </c>
      <c r="H103">
        <v>0.4304808708320999</v>
      </c>
      <c r="I103">
        <v>7.8695054023345146E-2</v>
      </c>
      <c r="J103">
        <v>1.5</v>
      </c>
      <c r="K103">
        <v>1</v>
      </c>
      <c r="L103">
        <v>3.3082377724509976E-2</v>
      </c>
      <c r="M103">
        <v>1.8440006632905057E-2</v>
      </c>
      <c r="N103">
        <v>9.5355136901247722E-3</v>
      </c>
      <c r="O103">
        <v>2.1757672966195272E-2</v>
      </c>
      <c r="P103">
        <v>329.8950116098693</v>
      </c>
      <c r="Q103">
        <v>328.49501160986927</v>
      </c>
      <c r="R103">
        <v>0</v>
      </c>
      <c r="S103">
        <v>0</v>
      </c>
      <c r="T103">
        <v>0.24553865099732367</v>
      </c>
      <c r="U103">
        <v>0.19679835731147458</v>
      </c>
      <c r="V103">
        <v>0.28209670249273844</v>
      </c>
      <c r="W103">
        <v>0.33705927322354007</v>
      </c>
      <c r="X103">
        <v>6.9456168963777296</v>
      </c>
      <c r="Y103">
        <v>20.540478873858071</v>
      </c>
      <c r="Z103">
        <v>47.425009026095978</v>
      </c>
      <c r="AA103">
        <v>0</v>
      </c>
      <c r="AB103">
        <v>74.911104796331784</v>
      </c>
      <c r="AC103">
        <v>5.2993322435315737E-2</v>
      </c>
    </row>
    <row r="104" spans="1:29" x14ac:dyDescent="0.25">
      <c r="A104">
        <v>103</v>
      </c>
      <c r="B104">
        <v>247</v>
      </c>
      <c r="C104">
        <v>0.16528748045347055</v>
      </c>
      <c r="D104">
        <v>0.65742289971851486</v>
      </c>
      <c r="E104">
        <v>15202.135278050422</v>
      </c>
      <c r="F104">
        <v>0.16528748045347055</v>
      </c>
      <c r="G104">
        <v>15202.135278050418</v>
      </c>
      <c r="H104">
        <v>0.65742289971851475</v>
      </c>
      <c r="I104">
        <v>0.15152195329814405</v>
      </c>
      <c r="J104">
        <v>1.5</v>
      </c>
      <c r="K104">
        <v>1</v>
      </c>
      <c r="L104">
        <v>3.3050226417764034E-2</v>
      </c>
      <c r="M104">
        <v>1.8422085602119762E-2</v>
      </c>
      <c r="N104">
        <v>9.5262465440875566E-3</v>
      </c>
      <c r="O104">
        <v>2.170580901867147E-2</v>
      </c>
      <c r="P104">
        <v>329.97464502137052</v>
      </c>
      <c r="Q104">
        <v>328.57464502137049</v>
      </c>
      <c r="R104">
        <v>0</v>
      </c>
      <c r="S104">
        <v>0</v>
      </c>
      <c r="T104">
        <v>0.21166876512463623</v>
      </c>
      <c r="U104">
        <v>0.20360315037327056</v>
      </c>
      <c r="V104">
        <v>0.28165999508814099</v>
      </c>
      <c r="W104">
        <v>0.33690728457356783</v>
      </c>
      <c r="X104">
        <v>7.1329865037456122</v>
      </c>
      <c r="Y104">
        <v>20.537988849184156</v>
      </c>
      <c r="Z104">
        <v>47.394717099756015</v>
      </c>
      <c r="AA104">
        <v>0</v>
      </c>
      <c r="AB104">
        <v>75.065692452685781</v>
      </c>
      <c r="AC104">
        <v>7.963341150121761E-2</v>
      </c>
    </row>
    <row r="105" spans="1:29" x14ac:dyDescent="0.25">
      <c r="A105">
        <v>104</v>
      </c>
      <c r="B105">
        <v>248</v>
      </c>
      <c r="C105">
        <v>0.12877085666609284</v>
      </c>
      <c r="D105">
        <v>0.50765974523952806</v>
      </c>
      <c r="E105">
        <v>15226.768715102977</v>
      </c>
      <c r="F105">
        <v>0.12877085666609284</v>
      </c>
      <c r="G105">
        <v>15226.768715102973</v>
      </c>
      <c r="H105">
        <v>0.50765974523952806</v>
      </c>
      <c r="I105">
        <v>0.15018474961625441</v>
      </c>
      <c r="J105">
        <v>1.5</v>
      </c>
      <c r="K105">
        <v>1</v>
      </c>
      <c r="L105">
        <v>3.303043326948342E-2</v>
      </c>
      <c r="M105">
        <v>1.8411052967506253E-2</v>
      </c>
      <c r="N105">
        <v>9.5205414572896198E-3</v>
      </c>
      <c r="O105">
        <v>2.1674767287559411E-2</v>
      </c>
      <c r="P105">
        <v>330.03666844134699</v>
      </c>
      <c r="Q105">
        <v>328.63666844134701</v>
      </c>
      <c r="R105">
        <v>0</v>
      </c>
      <c r="S105">
        <v>0</v>
      </c>
      <c r="T105">
        <v>0.21521980802927376</v>
      </c>
      <c r="U105">
        <v>0.20304295363113059</v>
      </c>
      <c r="V105">
        <v>0.28132253278603592</v>
      </c>
      <c r="W105">
        <v>0.33678962412733382</v>
      </c>
      <c r="X105">
        <v>7.3219813131233895</v>
      </c>
      <c r="Y105">
        <v>20.542460664147825</v>
      </c>
      <c r="Z105">
        <v>47.371276001562919</v>
      </c>
      <c r="AA105">
        <v>0</v>
      </c>
      <c r="AB105">
        <v>75.235717978834131</v>
      </c>
      <c r="AC105">
        <v>6.2023419976492411E-2</v>
      </c>
    </row>
    <row r="106" spans="1:29" x14ac:dyDescent="0.25">
      <c r="A106">
        <v>105</v>
      </c>
      <c r="B106">
        <v>249</v>
      </c>
      <c r="C106">
        <v>9.8626424482428615E-2</v>
      </c>
      <c r="D106">
        <v>0.36033213160464367</v>
      </c>
      <c r="E106">
        <v>15245.865878438244</v>
      </c>
      <c r="F106">
        <v>9.8626424482428615E-2</v>
      </c>
      <c r="G106">
        <v>15245.865878438242</v>
      </c>
      <c r="H106">
        <v>0.36033213160464356</v>
      </c>
      <c r="I106">
        <v>0.13918114155389635</v>
      </c>
      <c r="J106">
        <v>1.5</v>
      </c>
      <c r="K106">
        <v>1</v>
      </c>
      <c r="L106">
        <v>3.3015118720685507E-2</v>
      </c>
      <c r="M106">
        <v>1.8402516689256691E-2</v>
      </c>
      <c r="N106">
        <v>9.5161272615828709E-3</v>
      </c>
      <c r="O106">
        <v>2.1650530677267094E-2</v>
      </c>
      <c r="P106">
        <v>330.08108690262679</v>
      </c>
      <c r="Q106">
        <v>328.68108690262682</v>
      </c>
      <c r="R106">
        <v>0</v>
      </c>
      <c r="S106">
        <v>0</v>
      </c>
      <c r="T106">
        <v>0.2177392107031422</v>
      </c>
      <c r="U106">
        <v>0.20264585351746439</v>
      </c>
      <c r="V106">
        <v>0.28108290851486312</v>
      </c>
      <c r="W106">
        <v>0.33670568424896352</v>
      </c>
      <c r="X106">
        <v>7.4690099211582925</v>
      </c>
      <c r="Y106">
        <v>20.547413449955126</v>
      </c>
      <c r="Z106">
        <v>47.354567506263464</v>
      </c>
      <c r="AA106">
        <v>0</v>
      </c>
      <c r="AB106">
        <v>75.370990877376883</v>
      </c>
      <c r="AC106">
        <v>4.4418461279810417E-2</v>
      </c>
    </row>
    <row r="107" spans="1:29" x14ac:dyDescent="0.25">
      <c r="A107">
        <v>106</v>
      </c>
      <c r="B107">
        <v>250</v>
      </c>
      <c r="C107">
        <v>7.4270814383225761E-2</v>
      </c>
      <c r="D107">
        <v>0.29418268015144866</v>
      </c>
      <c r="E107">
        <v>15259.569556068585</v>
      </c>
      <c r="F107">
        <v>7.4270814383225761E-2</v>
      </c>
      <c r="G107">
        <v>15259.569556068584</v>
      </c>
      <c r="H107">
        <v>0.29418268015144866</v>
      </c>
      <c r="I107">
        <v>0.15089317838954289</v>
      </c>
      <c r="J107">
        <v>1.5</v>
      </c>
      <c r="K107">
        <v>1</v>
      </c>
      <c r="L107">
        <v>3.3004145544948953E-2</v>
      </c>
      <c r="M107">
        <v>1.8396400277823053E-2</v>
      </c>
      <c r="N107">
        <v>9.5129644034494133E-3</v>
      </c>
      <c r="O107">
        <v>2.163347703462842E-2</v>
      </c>
      <c r="P107">
        <v>330.11754754952472</v>
      </c>
      <c r="Q107">
        <v>328.71754754952474</v>
      </c>
      <c r="R107">
        <v>0</v>
      </c>
      <c r="S107">
        <v>0</v>
      </c>
      <c r="T107">
        <v>0.21979590031048327</v>
      </c>
      <c r="U107">
        <v>0.20232161066990911</v>
      </c>
      <c r="V107">
        <v>0.28088715426562594</v>
      </c>
      <c r="W107">
        <v>0.33663731598545316</v>
      </c>
      <c r="X107">
        <v>7.6233549699281955</v>
      </c>
      <c r="Y107">
        <v>20.556341264842086</v>
      </c>
      <c r="Z107">
        <v>47.340952353311934</v>
      </c>
      <c r="AA107">
        <v>0</v>
      </c>
      <c r="AB107">
        <v>75.52064858808221</v>
      </c>
      <c r="AC107">
        <v>3.6460646897912286E-2</v>
      </c>
    </row>
    <row r="108" spans="1:29" x14ac:dyDescent="0.25">
      <c r="A108">
        <v>107</v>
      </c>
      <c r="B108">
        <v>251</v>
      </c>
      <c r="C108">
        <v>5.4931479774239012E-2</v>
      </c>
      <c r="D108">
        <v>0.23956943697005539</v>
      </c>
      <c r="E108">
        <v>15269.822317289767</v>
      </c>
      <c r="F108">
        <v>5.4931479774239012E-2</v>
      </c>
      <c r="G108">
        <v>15269.822317289765</v>
      </c>
      <c r="H108">
        <v>0.23956943697005534</v>
      </c>
      <c r="I108">
        <v>0.16614252481864492</v>
      </c>
      <c r="J108">
        <v>1.5</v>
      </c>
      <c r="K108">
        <v>1</v>
      </c>
      <c r="L108">
        <v>3.2995944504463498E-2</v>
      </c>
      <c r="M108">
        <v>1.8391829045301383E-2</v>
      </c>
      <c r="N108">
        <v>9.5106005729389976E-3</v>
      </c>
      <c r="O108">
        <v>2.1620906442396542E-2</v>
      </c>
      <c r="P108">
        <v>330.14739971414076</v>
      </c>
      <c r="Q108">
        <v>328.74739971414073</v>
      </c>
      <c r="R108">
        <v>0</v>
      </c>
      <c r="S108">
        <v>0</v>
      </c>
      <c r="T108">
        <v>0.2214707590679334</v>
      </c>
      <c r="U108">
        <v>0.2020574668562079</v>
      </c>
      <c r="V108">
        <v>0.28072766235614427</v>
      </c>
      <c r="W108">
        <v>0.3365818128346959</v>
      </c>
      <c r="X108">
        <v>7.8226592231426029</v>
      </c>
      <c r="Y108">
        <v>20.574368882691338</v>
      </c>
      <c r="Z108">
        <v>47.329893019747878</v>
      </c>
      <c r="AA108">
        <v>0</v>
      </c>
      <c r="AB108">
        <v>75.726921125581825</v>
      </c>
      <c r="AC108">
        <v>2.9852164616026022E-2</v>
      </c>
    </row>
    <row r="109" spans="1:29" x14ac:dyDescent="0.25">
      <c r="A109">
        <v>108</v>
      </c>
      <c r="B109">
        <v>252</v>
      </c>
      <c r="C109">
        <v>3.9786146724666807E-2</v>
      </c>
      <c r="D109">
        <v>0.16181401540562931</v>
      </c>
      <c r="E109">
        <v>15276.945027816875</v>
      </c>
      <c r="F109">
        <v>3.9786146724666807E-2</v>
      </c>
      <c r="G109">
        <v>15276.945027816873</v>
      </c>
      <c r="H109">
        <v>0.16181401540562931</v>
      </c>
      <c r="I109">
        <v>0.15493693035124145</v>
      </c>
      <c r="J109">
        <v>1.5</v>
      </c>
      <c r="K109">
        <v>1</v>
      </c>
      <c r="L109">
        <v>3.2990251587338489E-2</v>
      </c>
      <c r="M109">
        <v>1.8388655832347348E-2</v>
      </c>
      <c r="N109">
        <v>9.5089596724682295E-3</v>
      </c>
      <c r="O109">
        <v>2.1612157227690953E-2</v>
      </c>
      <c r="P109">
        <v>330.16773789996978</v>
      </c>
      <c r="Q109">
        <v>328.76773789996975</v>
      </c>
      <c r="R109">
        <v>0</v>
      </c>
      <c r="S109">
        <v>0</v>
      </c>
      <c r="T109">
        <v>0.22260170701033233</v>
      </c>
      <c r="U109">
        <v>0.20187921528042799</v>
      </c>
      <c r="V109">
        <v>0.28061991584027857</v>
      </c>
      <c r="W109">
        <v>0.33654418289553029</v>
      </c>
      <c r="X109">
        <v>8.0328193400853944</v>
      </c>
      <c r="Y109">
        <v>20.59750943467359</v>
      </c>
      <c r="Z109">
        <v>47.322399830297904</v>
      </c>
      <c r="AA109">
        <v>0</v>
      </c>
      <c r="AB109">
        <v>75.95272860505689</v>
      </c>
      <c r="AC109">
        <v>2.0338185829013589E-2</v>
      </c>
    </row>
    <row r="110" spans="1:29" x14ac:dyDescent="0.25">
      <c r="A110">
        <v>109</v>
      </c>
      <c r="B110">
        <v>253</v>
      </c>
      <c r="C110">
        <v>2.8053224418302998E-2</v>
      </c>
      <c r="D110">
        <v>0.11745389425655009</v>
      </c>
      <c r="E110">
        <v>15282.058674702239</v>
      </c>
      <c r="F110">
        <v>2.8053224418302998E-2</v>
      </c>
      <c r="G110">
        <v>15282.058674702237</v>
      </c>
      <c r="H110">
        <v>0.11745389425655006</v>
      </c>
      <c r="I110">
        <v>0.15949803132066709</v>
      </c>
      <c r="J110">
        <v>1.5</v>
      </c>
      <c r="K110">
        <v>1</v>
      </c>
      <c r="L110">
        <v>3.2986166681908881E-2</v>
      </c>
      <c r="M110">
        <v>1.8386378919731088E-2</v>
      </c>
      <c r="N110">
        <v>9.5077822579555469E-3</v>
      </c>
      <c r="O110">
        <v>2.1605899093181054E-2</v>
      </c>
      <c r="P110">
        <v>330.18261766168871</v>
      </c>
      <c r="Q110">
        <v>328.78261766168868</v>
      </c>
      <c r="R110">
        <v>0</v>
      </c>
      <c r="S110">
        <v>0</v>
      </c>
      <c r="T110">
        <v>0.22342257960366663</v>
      </c>
      <c r="U110">
        <v>0.201749827218454</v>
      </c>
      <c r="V110">
        <v>0.28054168992036221</v>
      </c>
      <c r="W110">
        <v>0.33651688908890753</v>
      </c>
      <c r="X110">
        <v>8.3041186987787015</v>
      </c>
      <c r="Y110">
        <v>20.631601799205491</v>
      </c>
      <c r="Z110">
        <v>47.316964183788379</v>
      </c>
      <c r="AA110">
        <v>0</v>
      </c>
      <c r="AB110">
        <v>76.252684681772564</v>
      </c>
      <c r="AC110">
        <v>1.4879761718947226E-2</v>
      </c>
    </row>
    <row r="111" spans="1:29" x14ac:dyDescent="0.25">
      <c r="A111">
        <v>110</v>
      </c>
      <c r="B111">
        <v>254</v>
      </c>
      <c r="C111">
        <v>1.9039995962165272E-2</v>
      </c>
      <c r="D111">
        <v>7.7820784412719862E-2</v>
      </c>
      <c r="E111">
        <v>15285.870019778105</v>
      </c>
      <c r="F111">
        <v>1.9039995962165272E-2</v>
      </c>
      <c r="G111">
        <v>15285.870019778104</v>
      </c>
      <c r="H111">
        <v>7.7820784412719834E-2</v>
      </c>
      <c r="I111">
        <v>0.15570388338588786</v>
      </c>
      <c r="J111">
        <v>1.5</v>
      </c>
      <c r="K111">
        <v>1</v>
      </c>
      <c r="L111">
        <v>3.2983123304619277E-2</v>
      </c>
      <c r="M111">
        <v>1.8384682551414573E-2</v>
      </c>
      <c r="N111">
        <v>9.5069050487642699E-3</v>
      </c>
      <c r="O111">
        <v>2.1601163876546439E-2</v>
      </c>
      <c r="P111">
        <v>330.19258329281496</v>
      </c>
      <c r="Q111">
        <v>328.79258329281492</v>
      </c>
      <c r="R111">
        <v>0</v>
      </c>
      <c r="S111">
        <v>0</v>
      </c>
      <c r="T111">
        <v>0.22396639278528055</v>
      </c>
      <c r="U111">
        <v>0.20166413177663717</v>
      </c>
      <c r="V111">
        <v>0.28048985416259969</v>
      </c>
      <c r="W111">
        <v>0.33649877871966144</v>
      </c>
      <c r="X111">
        <v>8.4851726060327053</v>
      </c>
      <c r="Y111">
        <v>20.654238378910648</v>
      </c>
      <c r="Z111">
        <v>47.313358343249647</v>
      </c>
      <c r="AA111">
        <v>0</v>
      </c>
      <c r="AB111">
        <v>76.452769328193</v>
      </c>
      <c r="AC111">
        <v>9.965631126221397E-3</v>
      </c>
    </row>
    <row r="112" spans="1:29" x14ac:dyDescent="0.25">
      <c r="A112">
        <v>111</v>
      </c>
      <c r="B112">
        <v>255</v>
      </c>
      <c r="C112">
        <v>1.2160676819302774E-2</v>
      </c>
      <c r="D112">
        <v>4.4953292125377332E-2</v>
      </c>
      <c r="E112">
        <v>15288.145442657242</v>
      </c>
      <c r="F112">
        <v>1.2160676819302774E-2</v>
      </c>
      <c r="G112">
        <v>15288.14544265724</v>
      </c>
      <c r="H112">
        <v>4.4953292125377325E-2</v>
      </c>
      <c r="I112">
        <v>0.14082327753030666</v>
      </c>
      <c r="J112">
        <v>1.5</v>
      </c>
      <c r="K112">
        <v>1</v>
      </c>
      <c r="L112">
        <v>3.2981306864106434E-2</v>
      </c>
      <c r="M112">
        <v>1.8383670073551465E-2</v>
      </c>
      <c r="N112">
        <v>9.5063814862343405E-3</v>
      </c>
      <c r="O112">
        <v>2.1598328347654527E-2</v>
      </c>
      <c r="P112">
        <v>330.19838509720921</v>
      </c>
      <c r="Q112">
        <v>328.79838509720918</v>
      </c>
      <c r="R112">
        <v>0</v>
      </c>
      <c r="S112">
        <v>0</v>
      </c>
      <c r="T112">
        <v>0.22428043745417572</v>
      </c>
      <c r="U112">
        <v>0.20161468294573631</v>
      </c>
      <c r="V112">
        <v>0.2804599108056664</v>
      </c>
      <c r="W112">
        <v>0.33648826432324475</v>
      </c>
      <c r="X112">
        <v>8.6368153121630247</v>
      </c>
      <c r="Y112">
        <v>20.674051855077163</v>
      </c>
      <c r="Z112">
        <v>47.311266640390393</v>
      </c>
      <c r="AA112">
        <v>0</v>
      </c>
      <c r="AB112">
        <v>76.622133807630576</v>
      </c>
      <c r="AC112">
        <v>5.8018043942731357E-3</v>
      </c>
    </row>
    <row r="113" spans="1:29" x14ac:dyDescent="0.25">
      <c r="A113">
        <v>112</v>
      </c>
      <c r="B113">
        <v>256</v>
      </c>
      <c r="C113">
        <v>6.9359347599293776E-3</v>
      </c>
      <c r="D113">
        <v>1.7254802054258916E-2</v>
      </c>
      <c r="E113">
        <v>15289.248075412084</v>
      </c>
      <c r="F113">
        <v>6.9359347599293776E-3</v>
      </c>
      <c r="G113">
        <v>15289.248075412082</v>
      </c>
      <c r="H113">
        <v>1.7254802054258916E-2</v>
      </c>
      <c r="I113">
        <v>9.4771046051461083E-2</v>
      </c>
      <c r="J113">
        <v>1.5</v>
      </c>
      <c r="K113">
        <v>1</v>
      </c>
      <c r="L113">
        <v>3.2980426779929718E-2</v>
      </c>
      <c r="M113">
        <v>1.8383179517576582E-2</v>
      </c>
      <c r="N113">
        <v>9.5061278147846821E-3</v>
      </c>
      <c r="O113">
        <v>2.1596918020325963E-2</v>
      </c>
      <c r="P113">
        <v>330.20063727710124</v>
      </c>
      <c r="Q113">
        <v>328.8006372771012</v>
      </c>
      <c r="R113">
        <v>0</v>
      </c>
      <c r="S113">
        <v>0</v>
      </c>
      <c r="T113">
        <v>0.22440082928503757</v>
      </c>
      <c r="U113">
        <v>0.20159579771965422</v>
      </c>
      <c r="V113">
        <v>0.28044842114111163</v>
      </c>
      <c r="W113">
        <v>0.33648412960977314</v>
      </c>
      <c r="X113">
        <v>8.7488813645078825</v>
      </c>
      <c r="Y113">
        <v>20.689339998045945</v>
      </c>
      <c r="Z113">
        <v>47.310447309300066</v>
      </c>
      <c r="AA113">
        <v>0</v>
      </c>
      <c r="AB113">
        <v>76.748668671853892</v>
      </c>
      <c r="AC113">
        <v>2.2521798920260849E-3</v>
      </c>
    </row>
    <row r="114" spans="1:29" x14ac:dyDescent="0.25">
      <c r="A114">
        <v>113</v>
      </c>
      <c r="B114">
        <v>257</v>
      </c>
      <c r="C114">
        <v>2.9826903023379087E-3</v>
      </c>
      <c r="D114">
        <v>4.9404731658966817E-3</v>
      </c>
      <c r="E114">
        <v>15289.597419619873</v>
      </c>
      <c r="F114">
        <v>2.9826903023379087E-3</v>
      </c>
      <c r="G114">
        <v>15289.597419619871</v>
      </c>
      <c r="H114">
        <v>4.9404731658966826E-3</v>
      </c>
      <c r="I114">
        <v>6.3100249265049813E-2</v>
      </c>
      <c r="J114">
        <v>1.5</v>
      </c>
      <c r="K114">
        <v>1</v>
      </c>
      <c r="L114">
        <v>3.2980147963335697E-2</v>
      </c>
      <c r="M114">
        <v>1.8383024106140136E-2</v>
      </c>
      <c r="N114">
        <v>9.5060474499611049E-3</v>
      </c>
      <c r="O114">
        <v>2.1596467282550668E-2</v>
      </c>
      <c r="P114">
        <v>330.20129043619164</v>
      </c>
      <c r="Q114">
        <v>328.80129043619166</v>
      </c>
      <c r="R114">
        <v>0</v>
      </c>
      <c r="S114">
        <v>0</v>
      </c>
      <c r="T114">
        <v>0.22443523500438645</v>
      </c>
      <c r="U114">
        <v>0.2015904319485527</v>
      </c>
      <c r="V114">
        <v>0.28044513315518182</v>
      </c>
      <c r="W114">
        <v>0.33648290242047274</v>
      </c>
      <c r="X114">
        <v>8.8848980923660204</v>
      </c>
      <c r="Y114">
        <v>20.708765203221731</v>
      </c>
      <c r="Z114">
        <v>47.310205501005463</v>
      </c>
      <c r="AA114">
        <v>0</v>
      </c>
      <c r="AB114">
        <v>76.903868796593216</v>
      </c>
      <c r="AC114">
        <v>6.531590904246265E-4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589D-44E3-47E0-B3B1-26D6946B6711}">
  <sheetPr codeName="Sheet7"/>
  <dimension ref="A1:CB115"/>
  <sheetViews>
    <sheetView workbookViewId="0">
      <selection activeCell="N24" sqref="N24"/>
    </sheetView>
  </sheetViews>
  <sheetFormatPr defaultRowHeight="15" x14ac:dyDescent="0.25"/>
  <cols>
    <col min="1" max="1" width="12.5703125" customWidth="1"/>
    <col min="2" max="2" width="12.140625" bestFit="1" customWidth="1"/>
    <col min="3" max="3" width="14" bestFit="1" customWidth="1"/>
    <col min="4" max="4" width="13.85546875" bestFit="1" customWidth="1"/>
    <col min="5" max="27" width="16.28515625" customWidth="1"/>
  </cols>
  <sheetData>
    <row r="1" spans="1:71" x14ac:dyDescent="0.25">
      <c r="C1" t="s">
        <v>220</v>
      </c>
      <c r="D1" t="s">
        <v>220</v>
      </c>
      <c r="E1" t="s">
        <v>220</v>
      </c>
      <c r="F1" t="s">
        <v>220</v>
      </c>
      <c r="G1" t="s">
        <v>220</v>
      </c>
      <c r="H1" t="s">
        <v>220</v>
      </c>
      <c r="I1" t="s">
        <v>220</v>
      </c>
      <c r="J1" t="s">
        <v>220</v>
      </c>
      <c r="K1" t="s">
        <v>220</v>
      </c>
      <c r="L1" t="s">
        <v>220</v>
      </c>
      <c r="M1" t="s">
        <v>220</v>
      </c>
      <c r="N1" t="s">
        <v>220</v>
      </c>
      <c r="O1" t="s">
        <v>220</v>
      </c>
      <c r="P1" t="s">
        <v>220</v>
      </c>
      <c r="Q1" t="s">
        <v>220</v>
      </c>
      <c r="R1" t="s">
        <v>220</v>
      </c>
      <c r="S1" t="s">
        <v>220</v>
      </c>
      <c r="T1" t="s">
        <v>220</v>
      </c>
      <c r="U1" t="s">
        <v>220</v>
      </c>
      <c r="V1" t="s">
        <v>220</v>
      </c>
      <c r="X1" t="s">
        <v>221</v>
      </c>
      <c r="Y1" t="s">
        <v>221</v>
      </c>
      <c r="Z1" t="s">
        <v>221</v>
      </c>
      <c r="AA1" t="s">
        <v>221</v>
      </c>
      <c r="AB1" t="s">
        <v>221</v>
      </c>
      <c r="AC1" t="s">
        <v>221</v>
      </c>
      <c r="AD1" t="s">
        <v>221</v>
      </c>
      <c r="AE1" t="s">
        <v>221</v>
      </c>
      <c r="AF1" t="s">
        <v>221</v>
      </c>
      <c r="AG1" t="s">
        <v>221</v>
      </c>
      <c r="AH1" t="s">
        <v>221</v>
      </c>
      <c r="AI1" t="s">
        <v>221</v>
      </c>
      <c r="AJ1" t="s">
        <v>221</v>
      </c>
      <c r="AK1" t="s">
        <v>221</v>
      </c>
      <c r="AL1" t="s">
        <v>221</v>
      </c>
      <c r="AM1" t="s">
        <v>221</v>
      </c>
      <c r="AN1" t="s">
        <v>221</v>
      </c>
      <c r="AO1" t="s">
        <v>221</v>
      </c>
      <c r="AP1" t="s">
        <v>221</v>
      </c>
      <c r="AQ1" t="s">
        <v>221</v>
      </c>
      <c r="AS1" t="s">
        <v>222</v>
      </c>
      <c r="AT1" t="s">
        <v>222</v>
      </c>
      <c r="AU1" t="s">
        <v>222</v>
      </c>
      <c r="AV1" t="s">
        <v>222</v>
      </c>
      <c r="AW1" t="s">
        <v>222</v>
      </c>
      <c r="AX1" t="s">
        <v>222</v>
      </c>
      <c r="AY1" t="s">
        <v>222</v>
      </c>
      <c r="AZ1" t="s">
        <v>222</v>
      </c>
      <c r="BA1" t="s">
        <v>222</v>
      </c>
      <c r="BB1" t="s">
        <v>222</v>
      </c>
      <c r="BC1" t="s">
        <v>222</v>
      </c>
      <c r="BD1" t="s">
        <v>222</v>
      </c>
      <c r="BE1" t="s">
        <v>222</v>
      </c>
      <c r="BF1" t="s">
        <v>222</v>
      </c>
      <c r="BG1" t="s">
        <v>222</v>
      </c>
      <c r="BH1" t="s">
        <v>222</v>
      </c>
      <c r="BI1" t="s">
        <v>222</v>
      </c>
      <c r="BJ1" t="s">
        <v>222</v>
      </c>
      <c r="BK1" t="s">
        <v>222</v>
      </c>
      <c r="BL1" t="s">
        <v>222</v>
      </c>
      <c r="BN1" t="s">
        <v>223</v>
      </c>
      <c r="BO1" t="s">
        <v>223</v>
      </c>
      <c r="BP1" t="s">
        <v>223</v>
      </c>
      <c r="BQ1" t="s">
        <v>223</v>
      </c>
      <c r="BR1" t="s">
        <v>223</v>
      </c>
      <c r="BS1" t="s">
        <v>223</v>
      </c>
    </row>
    <row r="2" spans="1:71" x14ac:dyDescent="0.25">
      <c r="A2" t="s">
        <v>180</v>
      </c>
      <c r="B2" t="s">
        <v>219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X2">
        <v>1</v>
      </c>
      <c r="Y2">
        <v>2</v>
      </c>
      <c r="Z2">
        <v>3</v>
      </c>
      <c r="AA2">
        <v>4</v>
      </c>
      <c r="AB2">
        <v>5</v>
      </c>
      <c r="AC2">
        <v>6</v>
      </c>
      <c r="AD2">
        <v>7</v>
      </c>
      <c r="AE2">
        <v>8</v>
      </c>
      <c r="AF2">
        <v>9</v>
      </c>
      <c r="AG2">
        <v>10</v>
      </c>
      <c r="AH2">
        <v>11</v>
      </c>
      <c r="AI2">
        <v>12</v>
      </c>
      <c r="AJ2">
        <v>13</v>
      </c>
      <c r="AK2">
        <v>14</v>
      </c>
      <c r="AL2">
        <v>15</v>
      </c>
      <c r="AM2">
        <v>16</v>
      </c>
      <c r="AN2">
        <v>17</v>
      </c>
      <c r="AO2">
        <v>18</v>
      </c>
      <c r="AP2">
        <v>19</v>
      </c>
      <c r="AQ2">
        <v>20</v>
      </c>
      <c r="AS2">
        <v>1</v>
      </c>
      <c r="AT2">
        <v>2</v>
      </c>
      <c r="AU2">
        <v>3</v>
      </c>
      <c r="AV2">
        <v>4</v>
      </c>
      <c r="AW2">
        <v>5</v>
      </c>
      <c r="AX2">
        <v>6</v>
      </c>
      <c r="AY2">
        <v>7</v>
      </c>
      <c r="AZ2">
        <v>8</v>
      </c>
      <c r="BA2">
        <v>9</v>
      </c>
      <c r="BB2">
        <v>10</v>
      </c>
      <c r="BC2">
        <v>11</v>
      </c>
      <c r="BD2">
        <v>12</v>
      </c>
      <c r="BE2">
        <v>13</v>
      </c>
      <c r="BF2">
        <v>14</v>
      </c>
      <c r="BG2">
        <v>15</v>
      </c>
      <c r="BH2">
        <v>16</v>
      </c>
      <c r="BI2">
        <v>17</v>
      </c>
      <c r="BJ2">
        <v>18</v>
      </c>
      <c r="BK2">
        <v>19</v>
      </c>
      <c r="BL2">
        <v>20</v>
      </c>
      <c r="BN2">
        <v>1</v>
      </c>
      <c r="BO2">
        <v>2</v>
      </c>
      <c r="BP2">
        <v>3</v>
      </c>
      <c r="BQ2">
        <v>4</v>
      </c>
      <c r="BR2">
        <v>5</v>
      </c>
      <c r="BS2">
        <v>6</v>
      </c>
    </row>
    <row r="3" spans="1:71" x14ac:dyDescent="0.25">
      <c r="A3">
        <v>1</v>
      </c>
      <c r="B3">
        <v>145</v>
      </c>
      <c r="C3">
        <v>5.012793857153932E-2</v>
      </c>
      <c r="D3">
        <v>0.21379501866776365</v>
      </c>
      <c r="E3">
        <v>0.21403692705424149</v>
      </c>
      <c r="F3">
        <v>0.24903995693089714</v>
      </c>
      <c r="G3">
        <v>0.24908731015293847</v>
      </c>
      <c r="H3">
        <v>0.24908731015293847</v>
      </c>
      <c r="I3">
        <v>0.24908731015293847</v>
      </c>
      <c r="J3">
        <v>0.24908731015293847</v>
      </c>
      <c r="K3">
        <v>0.24962121758359859</v>
      </c>
      <c r="L3">
        <v>0.2</v>
      </c>
      <c r="M3">
        <v>0.2</v>
      </c>
      <c r="N3">
        <v>0.2</v>
      </c>
      <c r="O3">
        <v>0.2</v>
      </c>
      <c r="P3">
        <v>0.2</v>
      </c>
      <c r="Q3">
        <v>0.2</v>
      </c>
      <c r="R3">
        <v>0.2</v>
      </c>
      <c r="S3">
        <v>0.2</v>
      </c>
      <c r="T3">
        <v>0.2</v>
      </c>
      <c r="U3">
        <v>0.2</v>
      </c>
      <c r="V3">
        <v>0.2</v>
      </c>
      <c r="X3">
        <v>0.93216561664414721</v>
      </c>
      <c r="Y3">
        <v>302.33232595715464</v>
      </c>
      <c r="Z3">
        <v>4.5746646987393538</v>
      </c>
      <c r="AA3">
        <v>6.1965884046690141</v>
      </c>
      <c r="AB3">
        <v>6.4679306709621605</v>
      </c>
      <c r="AC3">
        <v>6.5175947940885717</v>
      </c>
      <c r="AD3">
        <v>6.2722413666922305</v>
      </c>
      <c r="AE3">
        <v>6.2369327550118205</v>
      </c>
      <c r="AF3">
        <v>6.2413157142736182</v>
      </c>
      <c r="AG3">
        <v>5</v>
      </c>
      <c r="AH3">
        <v>5</v>
      </c>
      <c r="AI3">
        <v>5</v>
      </c>
      <c r="AJ3">
        <v>5</v>
      </c>
      <c r="AK3">
        <v>5</v>
      </c>
      <c r="AL3">
        <v>5</v>
      </c>
      <c r="AM3">
        <v>5</v>
      </c>
      <c r="AN3">
        <v>5</v>
      </c>
      <c r="AO3">
        <v>5</v>
      </c>
      <c r="AP3">
        <v>5</v>
      </c>
      <c r="AQ3">
        <v>5</v>
      </c>
      <c r="AS3">
        <v>0.16251727426014217</v>
      </c>
      <c r="AT3">
        <v>0.91352536579081711</v>
      </c>
      <c r="AU3">
        <v>3.0652716926209491</v>
      </c>
      <c r="AV3">
        <v>2.7740776830017935</v>
      </c>
      <c r="AW3">
        <v>2.7772226641164282</v>
      </c>
      <c r="AX3">
        <v>2.7777969900965087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2.9360004911731123E-2</v>
      </c>
      <c r="BP3">
        <v>2.931856703668002E-2</v>
      </c>
      <c r="BQ3">
        <v>1.7913836175861484E-2</v>
      </c>
      <c r="BR3">
        <v>1.7912446933308589E-2</v>
      </c>
      <c r="BS3">
        <v>1.7912121877313888E-2</v>
      </c>
    </row>
    <row r="4" spans="1:71" x14ac:dyDescent="0.25">
      <c r="A4">
        <v>2</v>
      </c>
      <c r="B4">
        <v>146</v>
      </c>
      <c r="C4">
        <v>4.6415030504667179E-2</v>
      </c>
      <c r="D4">
        <v>0.21306146849711757</v>
      </c>
      <c r="E4">
        <v>0.21364200286688573</v>
      </c>
      <c r="F4">
        <v>0.24896719190821714</v>
      </c>
      <c r="G4">
        <v>0.24908731015293847</v>
      </c>
      <c r="H4">
        <v>0.24908731015293847</v>
      </c>
      <c r="I4">
        <v>0.24908731015293847</v>
      </c>
      <c r="J4">
        <v>0.24908731015293847</v>
      </c>
      <c r="K4">
        <v>0.24962121758359859</v>
      </c>
      <c r="L4">
        <v>0.2</v>
      </c>
      <c r="M4">
        <v>0.2</v>
      </c>
      <c r="N4">
        <v>0.2</v>
      </c>
      <c r="O4">
        <v>0.2</v>
      </c>
      <c r="P4">
        <v>0.2</v>
      </c>
      <c r="Q4">
        <v>0.2</v>
      </c>
      <c r="R4">
        <v>0.2</v>
      </c>
      <c r="S4">
        <v>0.2</v>
      </c>
      <c r="T4">
        <v>0.2</v>
      </c>
      <c r="U4">
        <v>0.2</v>
      </c>
      <c r="V4">
        <v>0.2</v>
      </c>
      <c r="X4">
        <v>0.93233782289926181</v>
      </c>
      <c r="Y4">
        <v>301.77890587071374</v>
      </c>
      <c r="Z4">
        <v>4.8529387304516538</v>
      </c>
      <c r="AA4">
        <v>6.4215080902881327</v>
      </c>
      <c r="AB4">
        <v>6.6903447809291441</v>
      </c>
      <c r="AC4">
        <v>6.7393755969747096</v>
      </c>
      <c r="AD4">
        <v>6.2722413666922305</v>
      </c>
      <c r="AE4">
        <v>6.2369327550118205</v>
      </c>
      <c r="AF4">
        <v>6.2413157142736182</v>
      </c>
      <c r="AG4">
        <v>5</v>
      </c>
      <c r="AH4">
        <v>5</v>
      </c>
      <c r="AI4">
        <v>5</v>
      </c>
      <c r="AJ4">
        <v>5</v>
      </c>
      <c r="AK4">
        <v>5</v>
      </c>
      <c r="AL4">
        <v>5</v>
      </c>
      <c r="AM4">
        <v>5</v>
      </c>
      <c r="AN4">
        <v>5</v>
      </c>
      <c r="AO4">
        <v>5</v>
      </c>
      <c r="AP4">
        <v>5</v>
      </c>
      <c r="AQ4">
        <v>5</v>
      </c>
      <c r="AS4">
        <v>0.16519121764901543</v>
      </c>
      <c r="AT4">
        <v>0.94942094869773996</v>
      </c>
      <c r="AU4">
        <v>2.8183465578741087</v>
      </c>
      <c r="AV4">
        <v>2.5700968125901826</v>
      </c>
      <c r="AW4">
        <v>2.5767085635955471</v>
      </c>
      <c r="AX4">
        <v>2.5779157988429513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2.8461496439878102E-3</v>
      </c>
      <c r="BO4">
        <v>3.5895582906922879E-2</v>
      </c>
      <c r="BP4">
        <v>3.5844953736533264E-2</v>
      </c>
      <c r="BQ4">
        <v>2.1901709526163094E-2</v>
      </c>
      <c r="BR4">
        <v>2.1900009446102563E-2</v>
      </c>
      <c r="BS4">
        <v>2.1899611632580692E-2</v>
      </c>
    </row>
    <row r="5" spans="1:71" x14ac:dyDescent="0.25">
      <c r="A5">
        <v>3</v>
      </c>
      <c r="B5">
        <v>147</v>
      </c>
      <c r="C5">
        <v>4.3770119632563192E-2</v>
      </c>
      <c r="D5">
        <v>0.21223473633142981</v>
      </c>
      <c r="E5">
        <v>0.21319123533613649</v>
      </c>
      <c r="F5">
        <v>0.24887828767473233</v>
      </c>
      <c r="G5">
        <v>0.24908731015293847</v>
      </c>
      <c r="H5">
        <v>0.24908731015293847</v>
      </c>
      <c r="I5">
        <v>0.24908731015293847</v>
      </c>
      <c r="J5">
        <v>0.24908731015293847</v>
      </c>
      <c r="K5">
        <v>0.24962121758359859</v>
      </c>
      <c r="L5">
        <v>0.2</v>
      </c>
      <c r="M5">
        <v>0.2</v>
      </c>
      <c r="N5">
        <v>0.2</v>
      </c>
      <c r="O5">
        <v>0.2</v>
      </c>
      <c r="P5">
        <v>0.2</v>
      </c>
      <c r="Q5">
        <v>0.2</v>
      </c>
      <c r="R5">
        <v>0.2</v>
      </c>
      <c r="S5">
        <v>0.2</v>
      </c>
      <c r="T5">
        <v>0.2</v>
      </c>
      <c r="U5">
        <v>0.2</v>
      </c>
      <c r="V5">
        <v>0.2</v>
      </c>
      <c r="X5">
        <v>0.93243381544597259</v>
      </c>
      <c r="Y5">
        <v>301.22326426213903</v>
      </c>
      <c r="Z5">
        <v>5.128011565290084</v>
      </c>
      <c r="AA5">
        <v>6.6430353969416185</v>
      </c>
      <c r="AB5">
        <v>6.9095641633469063</v>
      </c>
      <c r="AC5">
        <v>6.9579784762095969</v>
      </c>
      <c r="AD5">
        <v>6.2722413666922305</v>
      </c>
      <c r="AE5">
        <v>6.2369327550118205</v>
      </c>
      <c r="AF5">
        <v>6.2413157142736182</v>
      </c>
      <c r="AG5">
        <v>5</v>
      </c>
      <c r="AH5">
        <v>5</v>
      </c>
      <c r="AI5">
        <v>5</v>
      </c>
      <c r="AJ5">
        <v>5</v>
      </c>
      <c r="AK5">
        <v>5</v>
      </c>
      <c r="AL5">
        <v>5</v>
      </c>
      <c r="AM5">
        <v>5</v>
      </c>
      <c r="AN5">
        <v>5</v>
      </c>
      <c r="AO5">
        <v>5</v>
      </c>
      <c r="AP5">
        <v>5</v>
      </c>
      <c r="AQ5">
        <v>5</v>
      </c>
      <c r="AS5">
        <v>0.16648479773982514</v>
      </c>
      <c r="AT5">
        <v>0.98962685541355866</v>
      </c>
      <c r="AU5">
        <v>2.5785520364644468</v>
      </c>
      <c r="AV5">
        <v>2.3720014317387532</v>
      </c>
      <c r="AW5">
        <v>2.3820027419899041</v>
      </c>
      <c r="AX5">
        <v>2.3838258680697657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N5">
        <v>1.3895726375205194E-3</v>
      </c>
      <c r="BO5">
        <v>4.0205906715818668E-2</v>
      </c>
      <c r="BP5">
        <v>4.0128356543533479E-2</v>
      </c>
      <c r="BQ5">
        <v>2.4516177166116686E-2</v>
      </c>
      <c r="BR5">
        <v>2.4513560812119379E-2</v>
      </c>
      <c r="BS5">
        <v>2.4512948461701742E-2</v>
      </c>
    </row>
    <row r="6" spans="1:71" x14ac:dyDescent="0.25">
      <c r="A6">
        <v>4</v>
      </c>
      <c r="B6">
        <v>148</v>
      </c>
      <c r="C6">
        <v>4.2273043880140151E-2</v>
      </c>
      <c r="D6">
        <v>0.21152874993750778</v>
      </c>
      <c r="E6">
        <v>0.21280057816894379</v>
      </c>
      <c r="F6">
        <v>0.24879587492386954</v>
      </c>
      <c r="G6">
        <v>0.24908731015293847</v>
      </c>
      <c r="H6">
        <v>0.24908731015293847</v>
      </c>
      <c r="I6">
        <v>0.24908731015293847</v>
      </c>
      <c r="J6">
        <v>0.24908731015293847</v>
      </c>
      <c r="K6">
        <v>0.24962121758359859</v>
      </c>
      <c r="L6">
        <v>0.2</v>
      </c>
      <c r="M6">
        <v>0.2</v>
      </c>
      <c r="N6">
        <v>0.2</v>
      </c>
      <c r="O6">
        <v>0.2</v>
      </c>
      <c r="P6">
        <v>0.2</v>
      </c>
      <c r="Q6">
        <v>0.2</v>
      </c>
      <c r="R6">
        <v>0.2</v>
      </c>
      <c r="S6">
        <v>0.2</v>
      </c>
      <c r="T6">
        <v>0.2</v>
      </c>
      <c r="U6">
        <v>0.2</v>
      </c>
      <c r="V6">
        <v>0.2</v>
      </c>
      <c r="X6">
        <v>0.93247970806724967</v>
      </c>
      <c r="Y6">
        <v>300.70208957692563</v>
      </c>
      <c r="Z6">
        <v>5.4130087704309426</v>
      </c>
      <c r="AA6">
        <v>6.8711917290689817</v>
      </c>
      <c r="AB6">
        <v>7.1354347923114645</v>
      </c>
      <c r="AC6">
        <v>7.1832312928367879</v>
      </c>
      <c r="AD6">
        <v>6.2722413666922305</v>
      </c>
      <c r="AE6">
        <v>6.2369327550118205</v>
      </c>
      <c r="AF6">
        <v>6.2413157142736182</v>
      </c>
      <c r="AG6">
        <v>5</v>
      </c>
      <c r="AH6">
        <v>5</v>
      </c>
      <c r="AI6">
        <v>5</v>
      </c>
      <c r="AJ6">
        <v>5</v>
      </c>
      <c r="AK6">
        <v>5</v>
      </c>
      <c r="AL6">
        <v>5</v>
      </c>
      <c r="AM6">
        <v>5</v>
      </c>
      <c r="AN6">
        <v>5</v>
      </c>
      <c r="AO6">
        <v>5</v>
      </c>
      <c r="AP6">
        <v>5</v>
      </c>
      <c r="AQ6">
        <v>5</v>
      </c>
      <c r="AS6">
        <v>0.16700403179692172</v>
      </c>
      <c r="AT6">
        <v>1.0373474718975437</v>
      </c>
      <c r="AU6">
        <v>2.3363852226045432</v>
      </c>
      <c r="AV6">
        <v>2.1718650941019084</v>
      </c>
      <c r="AW6">
        <v>2.1852925062848199</v>
      </c>
      <c r="AX6">
        <v>2.1877333654515789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N6">
        <v>5.6512667837373023E-4</v>
      </c>
      <c r="BO6">
        <v>4.7720616483985054E-2</v>
      </c>
      <c r="BP6">
        <v>4.7710616476798688E-2</v>
      </c>
      <c r="BQ6">
        <v>2.9160731878167204E-2</v>
      </c>
      <c r="BR6">
        <v>2.9160393259473703E-2</v>
      </c>
      <c r="BS6">
        <v>2.9160314009004724E-2</v>
      </c>
    </row>
    <row r="7" spans="1:71" x14ac:dyDescent="0.25">
      <c r="A7">
        <v>5</v>
      </c>
      <c r="B7">
        <v>149</v>
      </c>
      <c r="C7">
        <v>4.0205411028198142E-2</v>
      </c>
      <c r="D7">
        <v>0.21023730070394289</v>
      </c>
      <c r="E7">
        <v>0.21207500251006467</v>
      </c>
      <c r="F7">
        <v>0.24862732158574843</v>
      </c>
      <c r="G7">
        <v>0.24908731015293847</v>
      </c>
      <c r="H7">
        <v>0.24908731015293847</v>
      </c>
      <c r="I7">
        <v>0.24908731015293847</v>
      </c>
      <c r="J7">
        <v>0.24908731015293847</v>
      </c>
      <c r="K7">
        <v>0.24962121758359859</v>
      </c>
      <c r="L7">
        <v>0.2</v>
      </c>
      <c r="M7">
        <v>0.2</v>
      </c>
      <c r="N7">
        <v>0.2</v>
      </c>
      <c r="O7">
        <v>0.2</v>
      </c>
      <c r="P7">
        <v>0.2</v>
      </c>
      <c r="Q7">
        <v>0.2</v>
      </c>
      <c r="R7">
        <v>0.2</v>
      </c>
      <c r="S7">
        <v>0.2</v>
      </c>
      <c r="T7">
        <v>0.2</v>
      </c>
      <c r="U7">
        <v>0.2</v>
      </c>
      <c r="V7">
        <v>0.2</v>
      </c>
      <c r="X7">
        <v>0.93247970806724967</v>
      </c>
      <c r="Y7">
        <v>299.96370855257146</v>
      </c>
      <c r="Z7">
        <v>5.6889324288864467</v>
      </c>
      <c r="AA7">
        <v>7.0917712371228303</v>
      </c>
      <c r="AB7">
        <v>7.3546036745649195</v>
      </c>
      <c r="AC7">
        <v>7.4018173581452</v>
      </c>
      <c r="AD7">
        <v>6.2722413666922305</v>
      </c>
      <c r="AE7">
        <v>6.2369327550118205</v>
      </c>
      <c r="AF7">
        <v>6.2413157142736182</v>
      </c>
      <c r="AG7">
        <v>5</v>
      </c>
      <c r="AH7">
        <v>5</v>
      </c>
      <c r="AI7">
        <v>5</v>
      </c>
      <c r="AJ7">
        <v>5</v>
      </c>
      <c r="AK7">
        <v>5</v>
      </c>
      <c r="AL7">
        <v>5</v>
      </c>
      <c r="AM7">
        <v>5</v>
      </c>
      <c r="AN7">
        <v>5</v>
      </c>
      <c r="AO7">
        <v>5</v>
      </c>
      <c r="AP7">
        <v>5</v>
      </c>
      <c r="AQ7">
        <v>5</v>
      </c>
      <c r="AS7">
        <v>0.16700403179692172</v>
      </c>
      <c r="AT7">
        <v>1.0919113738844917</v>
      </c>
      <c r="AU7">
        <v>2.1076426839076636</v>
      </c>
      <c r="AV7">
        <v>1.9827903462027234</v>
      </c>
      <c r="AW7">
        <v>1.9994911174276933</v>
      </c>
      <c r="AX7">
        <v>2.0025149474574775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N7">
        <v>0</v>
      </c>
      <c r="BO7">
        <v>5.4563901986947994E-2</v>
      </c>
      <c r="BP7">
        <v>5.4584132026043765E-2</v>
      </c>
      <c r="BQ7">
        <v>3.336683480459119E-2</v>
      </c>
      <c r="BR7">
        <v>3.3367493396327809E-2</v>
      </c>
      <c r="BS7">
        <v>3.3367647314310474E-2</v>
      </c>
    </row>
    <row r="8" spans="1:71" x14ac:dyDescent="0.25">
      <c r="A8">
        <v>6</v>
      </c>
      <c r="B8">
        <v>150</v>
      </c>
      <c r="C8">
        <v>3.9147368143472625E-2</v>
      </c>
      <c r="D8">
        <v>0.20921145956590753</v>
      </c>
      <c r="E8">
        <v>0.21148771677843597</v>
      </c>
      <c r="F8">
        <v>0.24847896253359683</v>
      </c>
      <c r="G8">
        <v>0.24908731015293847</v>
      </c>
      <c r="H8">
        <v>0.24908731015293847</v>
      </c>
      <c r="I8">
        <v>0.24908731015293847</v>
      </c>
      <c r="J8">
        <v>0.24908731015293847</v>
      </c>
      <c r="K8">
        <v>0.24962121758359859</v>
      </c>
      <c r="L8">
        <v>0.2</v>
      </c>
      <c r="M8">
        <v>0.2</v>
      </c>
      <c r="N8">
        <v>0.2</v>
      </c>
      <c r="O8">
        <v>0.2</v>
      </c>
      <c r="P8">
        <v>0.2</v>
      </c>
      <c r="Q8">
        <v>0.2</v>
      </c>
      <c r="R8">
        <v>0.2</v>
      </c>
      <c r="S8">
        <v>0.2</v>
      </c>
      <c r="T8">
        <v>0.2</v>
      </c>
      <c r="U8">
        <v>0.2</v>
      </c>
      <c r="V8">
        <v>0.2</v>
      </c>
      <c r="X8">
        <v>0.93247970806724967</v>
      </c>
      <c r="Y8">
        <v>299.31714860404946</v>
      </c>
      <c r="Z8">
        <v>5.9133506677814491</v>
      </c>
      <c r="AA8">
        <v>7.2700118226810284</v>
      </c>
      <c r="AB8">
        <v>7.5320916826431548</v>
      </c>
      <c r="AC8">
        <v>7.5788463247625302</v>
      </c>
      <c r="AD8">
        <v>6.2722413666922305</v>
      </c>
      <c r="AE8">
        <v>6.2369327550118205</v>
      </c>
      <c r="AF8">
        <v>6.2413157142736182</v>
      </c>
      <c r="AG8">
        <v>5</v>
      </c>
      <c r="AH8">
        <v>5</v>
      </c>
      <c r="AI8">
        <v>5</v>
      </c>
      <c r="AJ8">
        <v>5</v>
      </c>
      <c r="AK8">
        <v>5</v>
      </c>
      <c r="AL8">
        <v>5</v>
      </c>
      <c r="AM8">
        <v>5</v>
      </c>
      <c r="AN8">
        <v>5</v>
      </c>
      <c r="AO8">
        <v>5</v>
      </c>
      <c r="AP8">
        <v>5</v>
      </c>
      <c r="AQ8">
        <v>5</v>
      </c>
      <c r="AS8">
        <v>0.16700403179692172</v>
      </c>
      <c r="AT8">
        <v>1.1444586708871647</v>
      </c>
      <c r="AU8">
        <v>1.9288324101275858</v>
      </c>
      <c r="AV8">
        <v>1.8348118613238562</v>
      </c>
      <c r="AW8">
        <v>1.8541267039477436</v>
      </c>
      <c r="AX8">
        <v>1.857609612452338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N8">
        <v>0</v>
      </c>
      <c r="BO8">
        <v>5.2547297002672952E-2</v>
      </c>
      <c r="BP8">
        <v>5.255245770631059E-2</v>
      </c>
      <c r="BQ8">
        <v>3.212343585748114E-2</v>
      </c>
      <c r="BR8">
        <v>3.2123594598285558E-2</v>
      </c>
      <c r="BS8">
        <v>3.2123631612190222E-2</v>
      </c>
    </row>
    <row r="9" spans="1:71" x14ac:dyDescent="0.25">
      <c r="A9">
        <v>7</v>
      </c>
      <c r="B9">
        <v>151</v>
      </c>
      <c r="C9">
        <v>0.13500916349571232</v>
      </c>
      <c r="D9">
        <v>0.20837548494032426</v>
      </c>
      <c r="E9">
        <v>0.21099891957548153</v>
      </c>
      <c r="F9">
        <v>0.24834377058021695</v>
      </c>
      <c r="G9">
        <v>0.24908731015293847</v>
      </c>
      <c r="H9">
        <v>0.24908731015293847</v>
      </c>
      <c r="I9">
        <v>0.24908731015293847</v>
      </c>
      <c r="J9">
        <v>0.24908731015293847</v>
      </c>
      <c r="K9">
        <v>0.24962121758359859</v>
      </c>
      <c r="L9">
        <v>0.2</v>
      </c>
      <c r="M9">
        <v>0.2</v>
      </c>
      <c r="N9">
        <v>0.2</v>
      </c>
      <c r="O9">
        <v>0.2</v>
      </c>
      <c r="P9">
        <v>0.2</v>
      </c>
      <c r="Q9">
        <v>0.2</v>
      </c>
      <c r="R9">
        <v>0.2</v>
      </c>
      <c r="S9">
        <v>0.2</v>
      </c>
      <c r="T9">
        <v>0.2</v>
      </c>
      <c r="U9">
        <v>0.2</v>
      </c>
      <c r="V9">
        <v>0.2</v>
      </c>
      <c r="X9">
        <v>0.93247970806724967</v>
      </c>
      <c r="Y9">
        <v>298.60497492407751</v>
      </c>
      <c r="Z9">
        <v>6.0554363557982729</v>
      </c>
      <c r="AA9">
        <v>7.3836976214202004</v>
      </c>
      <c r="AB9">
        <v>7.6464405183167976</v>
      </c>
      <c r="AC9">
        <v>7.6929052873563082</v>
      </c>
      <c r="AD9">
        <v>6.2722413666922305</v>
      </c>
      <c r="AE9">
        <v>6.2369327550118205</v>
      </c>
      <c r="AF9">
        <v>6.2413157142736182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S9">
        <v>0.16700403179692172</v>
      </c>
      <c r="AT9">
        <v>1.1838719692480766</v>
      </c>
      <c r="AU9">
        <v>1.8179915106762987</v>
      </c>
      <c r="AV9">
        <v>1.7428374404670686</v>
      </c>
      <c r="AW9">
        <v>1.7638349105536943</v>
      </c>
      <c r="AX9">
        <v>1.7676073448848244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N9">
        <v>0</v>
      </c>
      <c r="BO9">
        <v>3.9413298360911939E-2</v>
      </c>
      <c r="BP9">
        <v>3.9369163591570867E-2</v>
      </c>
      <c r="BQ9">
        <v>2.4058526220910252E-2</v>
      </c>
      <c r="BR9">
        <v>2.4057042279594244E-2</v>
      </c>
      <c r="BS9">
        <v>2.4056695026264913E-2</v>
      </c>
    </row>
    <row r="10" spans="1:71" x14ac:dyDescent="0.25">
      <c r="A10">
        <v>8</v>
      </c>
      <c r="B10">
        <v>152</v>
      </c>
      <c r="C10">
        <v>8.9150261689183205E-2</v>
      </c>
      <c r="D10">
        <v>0.20676048706722011</v>
      </c>
      <c r="E10">
        <v>0.21003610585152188</v>
      </c>
      <c r="F10">
        <v>0.24804319179203557</v>
      </c>
      <c r="G10">
        <v>0.24908731015293847</v>
      </c>
      <c r="H10">
        <v>0.24908731015293847</v>
      </c>
      <c r="I10">
        <v>0.24908731015293847</v>
      </c>
      <c r="J10">
        <v>0.24908731015293847</v>
      </c>
      <c r="K10">
        <v>0.24962121758359859</v>
      </c>
      <c r="L10">
        <v>0.2</v>
      </c>
      <c r="M10">
        <v>0.2</v>
      </c>
      <c r="N10">
        <v>0.2</v>
      </c>
      <c r="O10">
        <v>0.2</v>
      </c>
      <c r="P10">
        <v>0.2</v>
      </c>
      <c r="Q10">
        <v>0.2</v>
      </c>
      <c r="R10">
        <v>0.2</v>
      </c>
      <c r="S10">
        <v>0.2</v>
      </c>
      <c r="T10">
        <v>0.2</v>
      </c>
      <c r="U10">
        <v>0.2</v>
      </c>
      <c r="V10">
        <v>0.2</v>
      </c>
      <c r="X10">
        <v>0.93506040326827011</v>
      </c>
      <c r="Y10">
        <v>297.47300076813963</v>
      </c>
      <c r="Z10">
        <v>6.1679467172168909</v>
      </c>
      <c r="AA10">
        <v>7.4758897725864637</v>
      </c>
      <c r="AB10">
        <v>7.7415462700692794</v>
      </c>
      <c r="AC10">
        <v>7.7877755639082622</v>
      </c>
      <c r="AD10">
        <v>6.2722413666922305</v>
      </c>
      <c r="AE10">
        <v>6.2369327550118205</v>
      </c>
      <c r="AF10">
        <v>6.2413157142736182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5</v>
      </c>
      <c r="AS10">
        <v>0.19080379544769394</v>
      </c>
      <c r="AT10">
        <v>1.2207267480767703</v>
      </c>
      <c r="AU10">
        <v>1.7287908555808145</v>
      </c>
      <c r="AV10">
        <v>1.6687757594715305</v>
      </c>
      <c r="AW10">
        <v>1.6911996692304803</v>
      </c>
      <c r="AX10">
        <v>1.695207002773607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N10">
        <v>2.6380458851792743E-2</v>
      </c>
      <c r="BO10">
        <v>3.6854778828693729E-2</v>
      </c>
      <c r="BP10">
        <v>3.6781605463252466E-2</v>
      </c>
      <c r="BQ10">
        <v>2.2472971754733232E-2</v>
      </c>
      <c r="BR10">
        <v>2.2470510429267017E-2</v>
      </c>
      <c r="BS10">
        <v>2.2469934440735969E-2</v>
      </c>
    </row>
    <row r="11" spans="1:71" x14ac:dyDescent="0.25">
      <c r="A11">
        <v>9</v>
      </c>
      <c r="B11">
        <v>153</v>
      </c>
      <c r="C11">
        <v>4.4098639361438888E-2</v>
      </c>
      <c r="D11">
        <v>0.20502316916497007</v>
      </c>
      <c r="E11">
        <v>0.20897558638949129</v>
      </c>
      <c r="F11">
        <v>0.24767299989993272</v>
      </c>
      <c r="G11">
        <v>0.2490864351813796</v>
      </c>
      <c r="H11">
        <v>0.24908731015293847</v>
      </c>
      <c r="I11">
        <v>0.24908731015293847</v>
      </c>
      <c r="J11">
        <v>0.24908731015293847</v>
      </c>
      <c r="K11">
        <v>0.24962121758359859</v>
      </c>
      <c r="L11">
        <v>0.2</v>
      </c>
      <c r="M11">
        <v>0.2</v>
      </c>
      <c r="N11">
        <v>0.2</v>
      </c>
      <c r="O11">
        <v>0.2</v>
      </c>
      <c r="P11">
        <v>0.2</v>
      </c>
      <c r="Q11">
        <v>0.2</v>
      </c>
      <c r="R11">
        <v>0.2</v>
      </c>
      <c r="S11">
        <v>0.2</v>
      </c>
      <c r="T11">
        <v>0.2</v>
      </c>
      <c r="U11">
        <v>0.2</v>
      </c>
      <c r="V11">
        <v>0.2</v>
      </c>
      <c r="X11">
        <v>0.93519455351431202</v>
      </c>
      <c r="Y11">
        <v>296.3254656300644</v>
      </c>
      <c r="Z11">
        <v>6.2529104338936596</v>
      </c>
      <c r="AA11">
        <v>7.546198951015584</v>
      </c>
      <c r="AB11">
        <v>7.8157665067012214</v>
      </c>
      <c r="AC11">
        <v>7.8618258246019783</v>
      </c>
      <c r="AD11">
        <v>6.2722413666922305</v>
      </c>
      <c r="AE11">
        <v>6.2369327550118205</v>
      </c>
      <c r="AF11">
        <v>6.2413157142736182</v>
      </c>
      <c r="AG11">
        <v>5</v>
      </c>
      <c r="AH11">
        <v>5</v>
      </c>
      <c r="AI11">
        <v>5</v>
      </c>
      <c r="AJ11">
        <v>5</v>
      </c>
      <c r="AK11">
        <v>5</v>
      </c>
      <c r="AL11">
        <v>5</v>
      </c>
      <c r="AM11">
        <v>5</v>
      </c>
      <c r="AN11">
        <v>5</v>
      </c>
      <c r="AO11">
        <v>5</v>
      </c>
      <c r="AP11">
        <v>5</v>
      </c>
      <c r="AQ11">
        <v>5</v>
      </c>
      <c r="AS11">
        <v>0.19224004598205263</v>
      </c>
      <c r="AT11">
        <v>1.2527713271766279</v>
      </c>
      <c r="AU11">
        <v>1.6614439479407792</v>
      </c>
      <c r="AV11">
        <v>1.612833330895217</v>
      </c>
      <c r="AW11">
        <v>1.6364146999830591</v>
      </c>
      <c r="AX11">
        <v>1.6406029843562842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N11">
        <v>1.5704007804005682E-3</v>
      </c>
      <c r="BO11">
        <v>3.2044579099857674E-2</v>
      </c>
      <c r="BP11">
        <v>3.1866511275002313E-2</v>
      </c>
      <c r="BQ11">
        <v>1.9453650006003576E-2</v>
      </c>
      <c r="BR11">
        <v>1.9447647185382506E-2</v>
      </c>
      <c r="BS11">
        <v>1.9446242276394042E-2</v>
      </c>
    </row>
    <row r="12" spans="1:71" x14ac:dyDescent="0.25">
      <c r="A12">
        <v>10</v>
      </c>
      <c r="B12">
        <v>154</v>
      </c>
      <c r="C12">
        <v>7.3094443990406099E-2</v>
      </c>
      <c r="D12">
        <v>0.20392026020605772</v>
      </c>
      <c r="E12">
        <v>0.20828265680573718</v>
      </c>
      <c r="F12">
        <v>0.24740736055155058</v>
      </c>
      <c r="G12">
        <v>0.24908171858065484</v>
      </c>
      <c r="H12">
        <v>0.24908731015293847</v>
      </c>
      <c r="I12">
        <v>0.24908731015293847</v>
      </c>
      <c r="J12">
        <v>0.24908731015293847</v>
      </c>
      <c r="K12">
        <v>0.24962121758359859</v>
      </c>
      <c r="L12">
        <v>0.2</v>
      </c>
      <c r="M12">
        <v>0.2</v>
      </c>
      <c r="N12">
        <v>0.2</v>
      </c>
      <c r="O12">
        <v>0.2</v>
      </c>
      <c r="P12">
        <v>0.2</v>
      </c>
      <c r="Q12">
        <v>0.2</v>
      </c>
      <c r="R12">
        <v>0.2</v>
      </c>
      <c r="S12">
        <v>0.2</v>
      </c>
      <c r="T12">
        <v>0.2</v>
      </c>
      <c r="U12">
        <v>0.2</v>
      </c>
      <c r="V12">
        <v>0.2</v>
      </c>
      <c r="X12">
        <v>0.93527326896264817</v>
      </c>
      <c r="Y12">
        <v>295.32096084757671</v>
      </c>
      <c r="Z12">
        <v>6.3564061832012735</v>
      </c>
      <c r="AA12">
        <v>7.6289452554153145</v>
      </c>
      <c r="AB12">
        <v>7.9021393321361568</v>
      </c>
      <c r="AC12">
        <v>7.9480911619400638</v>
      </c>
      <c r="AD12">
        <v>6.2722413666922305</v>
      </c>
      <c r="AE12">
        <v>6.2369327550118205</v>
      </c>
      <c r="AF12">
        <v>6.2413157142736182</v>
      </c>
      <c r="AG12">
        <v>5</v>
      </c>
      <c r="AH12">
        <v>5</v>
      </c>
      <c r="AI12">
        <v>5</v>
      </c>
      <c r="AJ12">
        <v>5</v>
      </c>
      <c r="AK12">
        <v>5</v>
      </c>
      <c r="AL12">
        <v>5</v>
      </c>
      <c r="AM12">
        <v>5</v>
      </c>
      <c r="AN12">
        <v>5</v>
      </c>
      <c r="AO12">
        <v>5</v>
      </c>
      <c r="AP12">
        <v>5</v>
      </c>
      <c r="AQ12">
        <v>5</v>
      </c>
      <c r="AS12">
        <v>0.192903410596383</v>
      </c>
      <c r="AT12">
        <v>1.2936144686222417</v>
      </c>
      <c r="AU12">
        <v>1.5857325827083648</v>
      </c>
      <c r="AV12">
        <v>1.5499601276258492</v>
      </c>
      <c r="AW12">
        <v>1.5748997519176064</v>
      </c>
      <c r="AX12">
        <v>1.5792881241280174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7.4208006266657776E-4</v>
      </c>
      <c r="BO12">
        <v>4.0843141445613879E-2</v>
      </c>
      <c r="BP12">
        <v>4.082271344747615E-2</v>
      </c>
      <c r="BQ12">
        <v>2.4951324345250964E-2</v>
      </c>
      <c r="BR12">
        <v>2.4950637762868835E-2</v>
      </c>
      <c r="BS12">
        <v>2.4950477109819073E-2</v>
      </c>
    </row>
    <row r="13" spans="1:71" x14ac:dyDescent="0.25">
      <c r="A13">
        <v>11</v>
      </c>
      <c r="B13">
        <v>155</v>
      </c>
      <c r="C13">
        <v>8.3306786190717602E-2</v>
      </c>
      <c r="D13">
        <v>0.20236638244961921</v>
      </c>
      <c r="E13">
        <v>0.20728226102882069</v>
      </c>
      <c r="F13">
        <v>0.24698152957405911</v>
      </c>
      <c r="G13">
        <v>0.24906149017572662</v>
      </c>
      <c r="H13">
        <v>0.24908731015293847</v>
      </c>
      <c r="I13">
        <v>0.24908731015293847</v>
      </c>
      <c r="J13">
        <v>0.24908731015293847</v>
      </c>
      <c r="K13">
        <v>0.24962121758359859</v>
      </c>
      <c r="L13">
        <v>0.2</v>
      </c>
      <c r="M13">
        <v>0.2</v>
      </c>
      <c r="N13">
        <v>0.2</v>
      </c>
      <c r="O13">
        <v>0.2</v>
      </c>
      <c r="P13">
        <v>0.2</v>
      </c>
      <c r="Q13">
        <v>0.2</v>
      </c>
      <c r="R13">
        <v>0.2</v>
      </c>
      <c r="S13">
        <v>0.2</v>
      </c>
      <c r="T13">
        <v>0.2</v>
      </c>
      <c r="U13">
        <v>0.2</v>
      </c>
      <c r="V13">
        <v>0.2</v>
      </c>
      <c r="X13">
        <v>0.93604978417798812</v>
      </c>
      <c r="Y13">
        <v>294.00901720371684</v>
      </c>
      <c r="Z13">
        <v>6.4271533985362339</v>
      </c>
      <c r="AA13">
        <v>7.6874100627934618</v>
      </c>
      <c r="AB13">
        <v>7.9667547088989794</v>
      </c>
      <c r="AC13">
        <v>8.0129263940295488</v>
      </c>
      <c r="AD13">
        <v>6.2722413666922305</v>
      </c>
      <c r="AE13">
        <v>6.2369327550118205</v>
      </c>
      <c r="AF13">
        <v>6.2413157142736182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5</v>
      </c>
      <c r="AS13">
        <v>0.19992434094968595</v>
      </c>
      <c r="AT13">
        <v>1.3278576235883794</v>
      </c>
      <c r="AU13">
        <v>1.5314124428656526</v>
      </c>
      <c r="AV13">
        <v>1.5047670295335669</v>
      </c>
      <c r="AW13">
        <v>1.530792415595716</v>
      </c>
      <c r="AX13">
        <v>1.5353317166570604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N13">
        <v>7.7974455686429522E-3</v>
      </c>
      <c r="BO13">
        <v>3.4243154966137508E-2</v>
      </c>
      <c r="BP13">
        <v>3.4175662309843584E-2</v>
      </c>
      <c r="BQ13">
        <v>2.0881622418811023E-2</v>
      </c>
      <c r="BR13">
        <v>2.0879355159672937E-2</v>
      </c>
      <c r="BS13">
        <v>2.0878824618526751E-2</v>
      </c>
    </row>
    <row r="14" spans="1:71" x14ac:dyDescent="0.25">
      <c r="A14">
        <v>12</v>
      </c>
      <c r="B14">
        <v>156</v>
      </c>
      <c r="C14">
        <v>4.5518060124853411E-2</v>
      </c>
      <c r="D14">
        <v>0.2000001701835554</v>
      </c>
      <c r="E14">
        <v>0.20571997873899173</v>
      </c>
      <c r="F14">
        <v>0.24624915420842353</v>
      </c>
      <c r="G14">
        <v>0.24899416437593641</v>
      </c>
      <c r="H14">
        <v>0.24908731015293847</v>
      </c>
      <c r="I14">
        <v>0.24908731015293847</v>
      </c>
      <c r="J14">
        <v>0.24908731015293847</v>
      </c>
      <c r="K14">
        <v>0.24962121758359859</v>
      </c>
      <c r="L14">
        <v>0.2</v>
      </c>
      <c r="M14">
        <v>0.2</v>
      </c>
      <c r="N14">
        <v>0.2</v>
      </c>
      <c r="O14">
        <v>0.2</v>
      </c>
      <c r="P14">
        <v>0.2</v>
      </c>
      <c r="Q14">
        <v>0.2</v>
      </c>
      <c r="R14">
        <v>0.2</v>
      </c>
      <c r="S14">
        <v>0.2</v>
      </c>
      <c r="T14">
        <v>0.2</v>
      </c>
      <c r="U14">
        <v>0.2</v>
      </c>
      <c r="V14">
        <v>0.2</v>
      </c>
      <c r="X14">
        <v>0.93630727829796534</v>
      </c>
      <c r="Y14">
        <v>292.33632687713231</v>
      </c>
      <c r="Z14">
        <v>6.4917759253958609</v>
      </c>
      <c r="AA14">
        <v>7.7417154984676211</v>
      </c>
      <c r="AB14">
        <v>8.0298430348111101</v>
      </c>
      <c r="AC14">
        <v>8.0768917436994787</v>
      </c>
      <c r="AD14">
        <v>6.2722413666922305</v>
      </c>
      <c r="AE14">
        <v>6.2369327550118205</v>
      </c>
      <c r="AF14">
        <v>6.2413157142736182</v>
      </c>
      <c r="AG14">
        <v>5</v>
      </c>
      <c r="AH14">
        <v>5</v>
      </c>
      <c r="AI14">
        <v>5</v>
      </c>
      <c r="AJ14">
        <v>5</v>
      </c>
      <c r="AK14">
        <v>5</v>
      </c>
      <c r="AL14">
        <v>5</v>
      </c>
      <c r="AM14">
        <v>5</v>
      </c>
      <c r="AN14">
        <v>5</v>
      </c>
      <c r="AO14">
        <v>5</v>
      </c>
      <c r="AP14">
        <v>5</v>
      </c>
      <c r="AQ14">
        <v>5</v>
      </c>
      <c r="AS14">
        <v>0.2020188355845928</v>
      </c>
      <c r="AT14">
        <v>1.3649030133567597</v>
      </c>
      <c r="AU14">
        <v>1.4802609717749045</v>
      </c>
      <c r="AV14">
        <v>1.4620350555655326</v>
      </c>
      <c r="AW14">
        <v>1.4892325772810209</v>
      </c>
      <c r="AX14">
        <v>1.4939299103986636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N14">
        <v>2.3519887548841571E-3</v>
      </c>
      <c r="BO14">
        <v>3.7045389768380413E-2</v>
      </c>
      <c r="BP14">
        <v>3.6942146005196165E-2</v>
      </c>
      <c r="BQ14">
        <v>2.2567837746706818E-2</v>
      </c>
      <c r="BR14">
        <v>2.2564357839588742E-2</v>
      </c>
      <c r="BS14">
        <v>2.2563543411533455E-2</v>
      </c>
    </row>
    <row r="15" spans="1:71" x14ac:dyDescent="0.25">
      <c r="A15">
        <v>13</v>
      </c>
      <c r="B15">
        <v>157</v>
      </c>
      <c r="C15">
        <v>6.4816530663699537E-2</v>
      </c>
      <c r="D15">
        <v>0.19717557795565335</v>
      </c>
      <c r="E15">
        <v>0.20380248219690808</v>
      </c>
      <c r="F15">
        <v>0.24527147318534775</v>
      </c>
      <c r="G15">
        <v>0.24884579836305465</v>
      </c>
      <c r="H15">
        <v>0.24908731015293847</v>
      </c>
      <c r="I15">
        <v>0.24908731015293847</v>
      </c>
      <c r="J15">
        <v>0.24908731015293847</v>
      </c>
      <c r="K15">
        <v>0.24962121758359859</v>
      </c>
      <c r="L15">
        <v>0.2</v>
      </c>
      <c r="M15">
        <v>0.2</v>
      </c>
      <c r="N15">
        <v>0.2</v>
      </c>
      <c r="O15">
        <v>0.2</v>
      </c>
      <c r="P15">
        <v>0.2</v>
      </c>
      <c r="Q15">
        <v>0.2</v>
      </c>
      <c r="R15">
        <v>0.2</v>
      </c>
      <c r="S15">
        <v>0.2</v>
      </c>
      <c r="T15">
        <v>0.2</v>
      </c>
      <c r="U15">
        <v>0.2</v>
      </c>
      <c r="V15">
        <v>0.2</v>
      </c>
      <c r="X15">
        <v>0.93635109416843387</v>
      </c>
      <c r="Y15">
        <v>290.51323067873722</v>
      </c>
      <c r="Z15">
        <v>6.5527719740432389</v>
      </c>
      <c r="AA15">
        <v>7.7932045133400525</v>
      </c>
      <c r="AB15">
        <v>8.0913955269433835</v>
      </c>
      <c r="AC15">
        <v>8.1403460242438967</v>
      </c>
      <c r="AD15">
        <v>6.2722413666922305</v>
      </c>
      <c r="AE15">
        <v>6.2369327550118205</v>
      </c>
      <c r="AF15">
        <v>6.2413157142736182</v>
      </c>
      <c r="AG15">
        <v>5</v>
      </c>
      <c r="AH15">
        <v>5</v>
      </c>
      <c r="AI15">
        <v>5</v>
      </c>
      <c r="AJ15">
        <v>5</v>
      </c>
      <c r="AK15">
        <v>5</v>
      </c>
      <c r="AL15">
        <v>5</v>
      </c>
      <c r="AM15">
        <v>5</v>
      </c>
      <c r="AN15">
        <v>5</v>
      </c>
      <c r="AO15">
        <v>5</v>
      </c>
      <c r="AP15">
        <v>5</v>
      </c>
      <c r="AQ15">
        <v>5</v>
      </c>
      <c r="AS15">
        <v>0.20234378499564293</v>
      </c>
      <c r="AT15">
        <v>1.4052893752771116</v>
      </c>
      <c r="AU15">
        <v>1.4329472237704179</v>
      </c>
      <c r="AV15">
        <v>1.4217138287096791</v>
      </c>
      <c r="AW15">
        <v>1.450194007978042</v>
      </c>
      <c r="AX15">
        <v>1.4550728259689309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N15">
        <v>3.6876528151862917E-4</v>
      </c>
      <c r="BO15">
        <v>4.0386361920351777E-2</v>
      </c>
      <c r="BP15">
        <v>4.0271961836783693E-2</v>
      </c>
      <c r="BQ15">
        <v>2.460197892326756E-2</v>
      </c>
      <c r="BR15">
        <v>2.4598103345948211E-2</v>
      </c>
      <c r="BS15">
        <v>2.459719611468621E-2</v>
      </c>
    </row>
    <row r="16" spans="1:71" x14ac:dyDescent="0.25">
      <c r="A16">
        <v>14</v>
      </c>
      <c r="B16">
        <v>158</v>
      </c>
      <c r="C16">
        <v>4.7729685607152815E-2</v>
      </c>
      <c r="D16">
        <v>0.19415087004779913</v>
      </c>
      <c r="E16">
        <v>0.20168862973420065</v>
      </c>
      <c r="F16">
        <v>0.24410977300539732</v>
      </c>
      <c r="G16">
        <v>0.2485810791733527</v>
      </c>
      <c r="H16">
        <v>0.24908731015293847</v>
      </c>
      <c r="I16">
        <v>0.24908731015293847</v>
      </c>
      <c r="J16">
        <v>0.24908731015293847</v>
      </c>
      <c r="K16">
        <v>0.24962121758359859</v>
      </c>
      <c r="L16">
        <v>0.2</v>
      </c>
      <c r="M16">
        <v>0.2</v>
      </c>
      <c r="N16">
        <v>0.2</v>
      </c>
      <c r="O16">
        <v>0.2</v>
      </c>
      <c r="P16">
        <v>0.2</v>
      </c>
      <c r="Q16">
        <v>0.2</v>
      </c>
      <c r="R16">
        <v>0.2</v>
      </c>
      <c r="S16">
        <v>0.2</v>
      </c>
      <c r="T16">
        <v>0.2</v>
      </c>
      <c r="U16">
        <v>0.2</v>
      </c>
      <c r="V16">
        <v>0.2</v>
      </c>
      <c r="X16">
        <v>0.93680260404189042</v>
      </c>
      <c r="Y16">
        <v>288.28694543246934</v>
      </c>
      <c r="Z16">
        <v>6.6010146919071717</v>
      </c>
      <c r="AA16">
        <v>7.8357035372100849</v>
      </c>
      <c r="AB16">
        <v>8.1465435539126574</v>
      </c>
      <c r="AC16">
        <v>8.1995045758567144</v>
      </c>
      <c r="AD16">
        <v>6.2722413666922305</v>
      </c>
      <c r="AE16">
        <v>6.2369327550118205</v>
      </c>
      <c r="AF16">
        <v>6.2413157142736182</v>
      </c>
      <c r="AG16">
        <v>5</v>
      </c>
      <c r="AH16">
        <v>5</v>
      </c>
      <c r="AI16">
        <v>5</v>
      </c>
      <c r="AJ16">
        <v>5</v>
      </c>
      <c r="AK16">
        <v>5</v>
      </c>
      <c r="AL16">
        <v>5</v>
      </c>
      <c r="AM16">
        <v>5</v>
      </c>
      <c r="AN16">
        <v>5</v>
      </c>
      <c r="AO16">
        <v>5</v>
      </c>
      <c r="AP16">
        <v>5</v>
      </c>
      <c r="AQ16">
        <v>5</v>
      </c>
      <c r="AS16">
        <v>0.20546210036810078</v>
      </c>
      <c r="AT16">
        <v>1.4467333381881509</v>
      </c>
      <c r="AU16">
        <v>1.3922721885009723</v>
      </c>
      <c r="AV16">
        <v>1.3862360878404221</v>
      </c>
      <c r="AW16">
        <v>1.4160685649915588</v>
      </c>
      <c r="AX16">
        <v>1.421174607103431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N16">
        <v>3.5698252459143249E-3</v>
      </c>
      <c r="BO16">
        <v>4.144396291103955E-2</v>
      </c>
      <c r="BP16">
        <v>4.1349974003570322E-2</v>
      </c>
      <c r="BQ16">
        <v>2.5264261852896361E-2</v>
      </c>
      <c r="BR16">
        <v>2.526107803730902E-2</v>
      </c>
      <c r="BS16">
        <v>2.5260332747317475E-2</v>
      </c>
    </row>
    <row r="17" spans="1:80" x14ac:dyDescent="0.25">
      <c r="A17">
        <v>15</v>
      </c>
      <c r="B17">
        <v>159</v>
      </c>
      <c r="C17">
        <v>4.3495934963333364E-2</v>
      </c>
      <c r="D17">
        <v>0.19100818209193074</v>
      </c>
      <c r="E17">
        <v>0.19942665162643899</v>
      </c>
      <c r="F17">
        <v>0.24278017810208485</v>
      </c>
      <c r="G17">
        <v>0.24815385911112278</v>
      </c>
      <c r="H17">
        <v>0.24908731015293847</v>
      </c>
      <c r="I17">
        <v>0.24908731015293847</v>
      </c>
      <c r="J17">
        <v>0.24908731015293847</v>
      </c>
      <c r="K17">
        <v>0.24962121758359859</v>
      </c>
      <c r="L17">
        <v>0.2</v>
      </c>
      <c r="M17">
        <v>0.2</v>
      </c>
      <c r="N17">
        <v>0.2</v>
      </c>
      <c r="O17">
        <v>0.2</v>
      </c>
      <c r="P17">
        <v>0.2</v>
      </c>
      <c r="Q17">
        <v>0.2</v>
      </c>
      <c r="R17">
        <v>0.2</v>
      </c>
      <c r="S17">
        <v>0.2</v>
      </c>
      <c r="T17">
        <v>0.2</v>
      </c>
      <c r="U17">
        <v>0.2</v>
      </c>
      <c r="V17">
        <v>0.2</v>
      </c>
      <c r="X17">
        <v>0.93694053857252413</v>
      </c>
      <c r="Y17">
        <v>285.94156899653871</v>
      </c>
      <c r="Z17">
        <v>6.6281087660119926</v>
      </c>
      <c r="AA17">
        <v>7.861906623039058</v>
      </c>
      <c r="AB17">
        <v>8.1858280430992032</v>
      </c>
      <c r="AC17">
        <v>8.2454589899408663</v>
      </c>
      <c r="AD17">
        <v>6.2722413666922305</v>
      </c>
      <c r="AE17">
        <v>6.2369327550118205</v>
      </c>
      <c r="AF17">
        <v>6.2413157142736182</v>
      </c>
      <c r="AG17">
        <v>5</v>
      </c>
      <c r="AH17">
        <v>5</v>
      </c>
      <c r="AI17">
        <v>5</v>
      </c>
      <c r="AJ17">
        <v>5</v>
      </c>
      <c r="AK17">
        <v>5</v>
      </c>
      <c r="AL17">
        <v>5</v>
      </c>
      <c r="AM17">
        <v>5</v>
      </c>
      <c r="AN17">
        <v>5</v>
      </c>
      <c r="AO17">
        <v>5</v>
      </c>
      <c r="AP17">
        <v>5</v>
      </c>
      <c r="AQ17">
        <v>5</v>
      </c>
      <c r="AS17">
        <v>0.2065626336349804</v>
      </c>
      <c r="AT17">
        <v>1.4821773108515717</v>
      </c>
      <c r="AU17">
        <v>1.363417436510941</v>
      </c>
      <c r="AV17">
        <v>1.3603434660156157</v>
      </c>
      <c r="AW17">
        <v>1.3913722915704352</v>
      </c>
      <c r="AX17">
        <v>1.3967418924783583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N17">
        <v>1.2384677975133276E-3</v>
      </c>
      <c r="BO17">
        <v>3.544397266342076E-2</v>
      </c>
      <c r="BP17">
        <v>3.5260837383236911E-2</v>
      </c>
      <c r="BQ17">
        <v>2.1529341386391034E-2</v>
      </c>
      <c r="BR17">
        <v>2.152314893509908E-2</v>
      </c>
      <c r="BS17">
        <v>2.1521699459078933E-2</v>
      </c>
    </row>
    <row r="18" spans="1:80" x14ac:dyDescent="0.25">
      <c r="A18">
        <v>16</v>
      </c>
      <c r="B18">
        <v>160</v>
      </c>
      <c r="C18">
        <v>4.0980103760550078E-2</v>
      </c>
      <c r="D18">
        <v>0.18750637403327572</v>
      </c>
      <c r="E18">
        <v>0.19683376718238982</v>
      </c>
      <c r="F18">
        <v>0.24116018936538156</v>
      </c>
      <c r="G18">
        <v>0.24747416822608256</v>
      </c>
      <c r="H18">
        <v>0.24906567181557124</v>
      </c>
      <c r="I18">
        <v>0.24908731015293847</v>
      </c>
      <c r="J18">
        <v>0.24908731015293847</v>
      </c>
      <c r="K18">
        <v>0.24962121758359859</v>
      </c>
      <c r="L18">
        <v>0.2</v>
      </c>
      <c r="M18">
        <v>0.2</v>
      </c>
      <c r="N18">
        <v>0.2</v>
      </c>
      <c r="O18">
        <v>0.2</v>
      </c>
      <c r="P18">
        <v>0.2</v>
      </c>
      <c r="Q18">
        <v>0.2</v>
      </c>
      <c r="R18">
        <v>0.2</v>
      </c>
      <c r="S18">
        <v>0.2</v>
      </c>
      <c r="T18">
        <v>0.2</v>
      </c>
      <c r="U18">
        <v>0.2</v>
      </c>
      <c r="V18">
        <v>0.2</v>
      </c>
      <c r="X18">
        <v>0.93694053857252413</v>
      </c>
      <c r="Y18">
        <v>283.50969121889227</v>
      </c>
      <c r="Z18">
        <v>6.6630217984915925</v>
      </c>
      <c r="AA18">
        <v>7.8930934672462127</v>
      </c>
      <c r="AB18">
        <v>8.2293035709022782</v>
      </c>
      <c r="AC18">
        <v>8.2983947035233872</v>
      </c>
      <c r="AD18">
        <v>6.2722413666922305</v>
      </c>
      <c r="AE18">
        <v>6.2369327550118205</v>
      </c>
      <c r="AF18">
        <v>6.2413157142736182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S18">
        <v>0.2065626336349804</v>
      </c>
      <c r="AT18">
        <v>1.5263010008826456</v>
      </c>
      <c r="AU18">
        <v>1.332766832354767</v>
      </c>
      <c r="AV18">
        <v>1.3320047371937493</v>
      </c>
      <c r="AW18">
        <v>1.364553460943589</v>
      </c>
      <c r="AX18">
        <v>1.3703742595003545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N18">
        <v>0</v>
      </c>
      <c r="BO18">
        <v>4.412369003107388E-2</v>
      </c>
      <c r="BP18">
        <v>4.4023797449127496E-2</v>
      </c>
      <c r="BQ18">
        <v>2.6898521055958708E-2</v>
      </c>
      <c r="BR18">
        <v>2.6895102910188855E-2</v>
      </c>
      <c r="BS18">
        <v>2.6894302416729462E-2</v>
      </c>
    </row>
    <row r="19" spans="1:80" x14ac:dyDescent="0.25">
      <c r="A19">
        <v>17</v>
      </c>
      <c r="B19">
        <v>161</v>
      </c>
      <c r="C19">
        <v>3.9431453160095942E-2</v>
      </c>
      <c r="D19">
        <v>0.18395653219355748</v>
      </c>
      <c r="E19">
        <v>0.19412741695340588</v>
      </c>
      <c r="F19">
        <v>0.23937645335166141</v>
      </c>
      <c r="G19">
        <v>0.24657694289505494</v>
      </c>
      <c r="H19">
        <v>0.24895614350459339</v>
      </c>
      <c r="I19">
        <v>0.24908731015293847</v>
      </c>
      <c r="J19">
        <v>0.24908731015293847</v>
      </c>
      <c r="K19">
        <v>0.24962121758359859</v>
      </c>
      <c r="L19">
        <v>0.2</v>
      </c>
      <c r="M19">
        <v>0.2</v>
      </c>
      <c r="N19">
        <v>0.2</v>
      </c>
      <c r="O19">
        <v>0.2</v>
      </c>
      <c r="P19">
        <v>0.2</v>
      </c>
      <c r="Q19">
        <v>0.2</v>
      </c>
      <c r="R19">
        <v>0.2</v>
      </c>
      <c r="S19">
        <v>0.2</v>
      </c>
      <c r="T19">
        <v>0.2</v>
      </c>
      <c r="U19">
        <v>0.2</v>
      </c>
      <c r="V19">
        <v>0.2</v>
      </c>
      <c r="X19">
        <v>0.93694053857252413</v>
      </c>
      <c r="Y19">
        <v>280.98711359896924</v>
      </c>
      <c r="Z19">
        <v>6.7022366167807697</v>
      </c>
      <c r="AA19">
        <v>7.9264398536057818</v>
      </c>
      <c r="AB19">
        <v>8.2741932271543668</v>
      </c>
      <c r="AC19">
        <v>8.3547200401202666</v>
      </c>
      <c r="AD19">
        <v>6.2722413666922305</v>
      </c>
      <c r="AE19">
        <v>6.2369327550118205</v>
      </c>
      <c r="AF19">
        <v>6.2413157142736182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S19">
        <v>0.2065626336349804</v>
      </c>
      <c r="AT19">
        <v>1.5785330656512844</v>
      </c>
      <c r="AU19">
        <v>1.3029624166986322</v>
      </c>
      <c r="AV19">
        <v>1.3034768081573627</v>
      </c>
      <c r="AW19">
        <v>1.3377949752846232</v>
      </c>
      <c r="AX19">
        <v>1.3443036347600179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N19">
        <v>0</v>
      </c>
      <c r="BO19">
        <v>5.2232064768638835E-2</v>
      </c>
      <c r="BP19">
        <v>5.2240710459879172E-2</v>
      </c>
      <c r="BQ19">
        <v>3.1937804937103957E-2</v>
      </c>
      <c r="BR19">
        <v>3.1938032635113738E-2</v>
      </c>
      <c r="BS19">
        <v>3.1938085293650734E-2</v>
      </c>
    </row>
    <row r="20" spans="1:80" x14ac:dyDescent="0.25">
      <c r="A20">
        <v>18</v>
      </c>
      <c r="B20">
        <v>162</v>
      </c>
      <c r="C20">
        <v>3.8410404277069946E-2</v>
      </c>
      <c r="D20">
        <v>0.18054224433689234</v>
      </c>
      <c r="E20">
        <v>0.19144569244021734</v>
      </c>
      <c r="F20">
        <v>0.23752408372443753</v>
      </c>
      <c r="G20">
        <v>0.2455137424661008</v>
      </c>
      <c r="H20">
        <v>0.24869084834960209</v>
      </c>
      <c r="I20">
        <v>0.24908731015293847</v>
      </c>
      <c r="J20">
        <v>0.24908731015293847</v>
      </c>
      <c r="K20">
        <v>0.24962121758359859</v>
      </c>
      <c r="L20">
        <v>0.2</v>
      </c>
      <c r="M20">
        <v>0.2</v>
      </c>
      <c r="N20">
        <v>0.2</v>
      </c>
      <c r="O20">
        <v>0.2</v>
      </c>
      <c r="P20">
        <v>0.2</v>
      </c>
      <c r="Q20">
        <v>0.2</v>
      </c>
      <c r="R20">
        <v>0.2</v>
      </c>
      <c r="S20">
        <v>0.2</v>
      </c>
      <c r="T20">
        <v>0.2</v>
      </c>
      <c r="U20">
        <v>0.2</v>
      </c>
      <c r="V20">
        <v>0.2</v>
      </c>
      <c r="X20">
        <v>0.93694053857252413</v>
      </c>
      <c r="Y20">
        <v>278.30265887572301</v>
      </c>
      <c r="Z20">
        <v>6.7324566100149434</v>
      </c>
      <c r="AA20">
        <v>7.9520027079160318</v>
      </c>
      <c r="AB20">
        <v>8.3111292665657555</v>
      </c>
      <c r="AC20">
        <v>8.4044006235547872</v>
      </c>
      <c r="AD20">
        <v>6.2722413666922305</v>
      </c>
      <c r="AE20">
        <v>6.2369327550118205</v>
      </c>
      <c r="AF20">
        <v>6.2413157142736182</v>
      </c>
      <c r="AG20">
        <v>5</v>
      </c>
      <c r="AH20">
        <v>5</v>
      </c>
      <c r="AI20">
        <v>5</v>
      </c>
      <c r="AJ20">
        <v>5</v>
      </c>
      <c r="AK20">
        <v>5</v>
      </c>
      <c r="AL20">
        <v>5</v>
      </c>
      <c r="AM20">
        <v>5</v>
      </c>
      <c r="AN20">
        <v>5</v>
      </c>
      <c r="AO20">
        <v>5</v>
      </c>
      <c r="AP20">
        <v>5</v>
      </c>
      <c r="AQ20">
        <v>5</v>
      </c>
      <c r="AS20">
        <v>0.2065626336349804</v>
      </c>
      <c r="AT20">
        <v>1.6320952622674811</v>
      </c>
      <c r="AU20">
        <v>1.2788932675587077</v>
      </c>
      <c r="AV20">
        <v>1.2794436273398493</v>
      </c>
      <c r="AW20">
        <v>1.3155158665892235</v>
      </c>
      <c r="AX20">
        <v>1.3228790985649901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N20">
        <v>0</v>
      </c>
      <c r="BO20">
        <v>5.3562196616196822E-2</v>
      </c>
      <c r="BP20">
        <v>5.3579050659812215E-2</v>
      </c>
      <c r="BQ20">
        <v>3.2757844740088832E-2</v>
      </c>
      <c r="BR20">
        <v>3.2758381307785404E-2</v>
      </c>
      <c r="BS20">
        <v>3.275850658658145E-2</v>
      </c>
    </row>
    <row r="21" spans="1:80" x14ac:dyDescent="0.25">
      <c r="A21">
        <v>19</v>
      </c>
      <c r="B21">
        <v>163</v>
      </c>
      <c r="C21">
        <v>3.7746824468612272E-2</v>
      </c>
      <c r="D21">
        <v>0.17745031677035258</v>
      </c>
      <c r="E21">
        <v>0.18894005082362961</v>
      </c>
      <c r="F21">
        <v>0.23572125129829147</v>
      </c>
      <c r="G21">
        <v>0.24436884160113603</v>
      </c>
      <c r="H21">
        <v>0.24823408565814084</v>
      </c>
      <c r="I21">
        <v>0.24907872707390211</v>
      </c>
      <c r="J21">
        <v>0.24908731015293847</v>
      </c>
      <c r="K21">
        <v>0.24962121758359859</v>
      </c>
      <c r="L21">
        <v>0.2</v>
      </c>
      <c r="M21">
        <v>0.2</v>
      </c>
      <c r="N21">
        <v>0.2</v>
      </c>
      <c r="O21">
        <v>0.2</v>
      </c>
      <c r="P21">
        <v>0.2</v>
      </c>
      <c r="Q21">
        <v>0.2</v>
      </c>
      <c r="R21">
        <v>0.2</v>
      </c>
      <c r="S21">
        <v>0.2</v>
      </c>
      <c r="T21">
        <v>0.2</v>
      </c>
      <c r="U21">
        <v>0.2</v>
      </c>
      <c r="V21">
        <v>0.2</v>
      </c>
      <c r="X21">
        <v>0.93694053857252413</v>
      </c>
      <c r="Y21">
        <v>275.01775929270315</v>
      </c>
      <c r="Z21">
        <v>6.7314522639502785</v>
      </c>
      <c r="AA21">
        <v>7.9539443554077005</v>
      </c>
      <c r="AB21">
        <v>8.3264410414837666</v>
      </c>
      <c r="AC21">
        <v>8.4347601788292117</v>
      </c>
      <c r="AD21">
        <v>6.2720949530829602</v>
      </c>
      <c r="AE21">
        <v>6.2369327550118205</v>
      </c>
      <c r="AF21">
        <v>6.2413157142736182</v>
      </c>
      <c r="AG21">
        <v>5</v>
      </c>
      <c r="AH21">
        <v>5</v>
      </c>
      <c r="AI21">
        <v>5</v>
      </c>
      <c r="AJ21">
        <v>5</v>
      </c>
      <c r="AK21">
        <v>5</v>
      </c>
      <c r="AL21">
        <v>5</v>
      </c>
      <c r="AM21">
        <v>5</v>
      </c>
      <c r="AN21">
        <v>5</v>
      </c>
      <c r="AO21">
        <v>5</v>
      </c>
      <c r="AP21">
        <v>5</v>
      </c>
      <c r="AQ21">
        <v>5</v>
      </c>
      <c r="AS21">
        <v>0.2065626336349804</v>
      </c>
      <c r="AT21">
        <v>1.6762229665449253</v>
      </c>
      <c r="AU21">
        <v>1.2635165693614909</v>
      </c>
      <c r="AV21">
        <v>1.2632602606634495</v>
      </c>
      <c r="AW21">
        <v>1.3007827783881787</v>
      </c>
      <c r="AX21">
        <v>1.3089997301497789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N21">
        <v>0</v>
      </c>
      <c r="BO21">
        <v>4.4127704277444724E-2</v>
      </c>
      <c r="BP21">
        <v>4.4100197479016265E-2</v>
      </c>
      <c r="BQ21">
        <v>2.695715536513953E-2</v>
      </c>
      <c r="BR21">
        <v>2.6956227343793916E-2</v>
      </c>
      <c r="BS21">
        <v>2.6956010160462767E-2</v>
      </c>
    </row>
    <row r="22" spans="1:80" x14ac:dyDescent="0.25">
      <c r="A22">
        <v>20</v>
      </c>
      <c r="B22">
        <v>164</v>
      </c>
      <c r="C22">
        <v>3.69394167108298E-2</v>
      </c>
      <c r="D22">
        <v>0.17267869633653982</v>
      </c>
      <c r="E22">
        <v>0.18501724993476451</v>
      </c>
      <c r="F22">
        <v>0.23278459892244246</v>
      </c>
      <c r="G22">
        <v>0.24236817132329294</v>
      </c>
      <c r="H22">
        <v>0.24720574680532914</v>
      </c>
      <c r="I22">
        <v>0.24893190866805337</v>
      </c>
      <c r="J22">
        <v>0.24908731015293847</v>
      </c>
      <c r="K22">
        <v>0.24962121758359859</v>
      </c>
      <c r="L22">
        <v>0.2</v>
      </c>
      <c r="M22">
        <v>0.2</v>
      </c>
      <c r="N22">
        <v>0.2</v>
      </c>
      <c r="O22">
        <v>0.2</v>
      </c>
      <c r="P22">
        <v>0.2</v>
      </c>
      <c r="Q22">
        <v>0.2</v>
      </c>
      <c r="R22">
        <v>0.2</v>
      </c>
      <c r="S22">
        <v>0.2</v>
      </c>
      <c r="T22">
        <v>0.2</v>
      </c>
      <c r="U22">
        <v>0.2</v>
      </c>
      <c r="V22">
        <v>0.2</v>
      </c>
      <c r="X22">
        <v>0.93694053857252413</v>
      </c>
      <c r="Y22">
        <v>270.83615245719778</v>
      </c>
      <c r="Z22">
        <v>6.7149730932125857</v>
      </c>
      <c r="AA22">
        <v>7.9440163152634824</v>
      </c>
      <c r="AB22">
        <v>8.332241406202332</v>
      </c>
      <c r="AC22">
        <v>8.4579409173431799</v>
      </c>
      <c r="AD22">
        <v>6.2700594681648321</v>
      </c>
      <c r="AE22">
        <v>6.2369327550118205</v>
      </c>
      <c r="AF22">
        <v>6.2413157142736182</v>
      </c>
      <c r="AG22">
        <v>5</v>
      </c>
      <c r="AH22">
        <v>5</v>
      </c>
      <c r="AI22">
        <v>5</v>
      </c>
      <c r="AJ22">
        <v>5</v>
      </c>
      <c r="AK22">
        <v>5</v>
      </c>
      <c r="AL22">
        <v>5</v>
      </c>
      <c r="AM22">
        <v>5</v>
      </c>
      <c r="AN22">
        <v>5</v>
      </c>
      <c r="AO22">
        <v>5</v>
      </c>
      <c r="AP22">
        <v>5</v>
      </c>
      <c r="AQ22">
        <v>5</v>
      </c>
      <c r="AS22">
        <v>0.2065626336349804</v>
      </c>
      <c r="AT22">
        <v>1.7247210834336191</v>
      </c>
      <c r="AU22">
        <v>1.2499148041745429</v>
      </c>
      <c r="AV22">
        <v>1.2475906128723318</v>
      </c>
      <c r="AW22">
        <v>1.2867760083179176</v>
      </c>
      <c r="AX22">
        <v>1.2961250034425849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N22">
        <v>0</v>
      </c>
      <c r="BO22">
        <v>4.8498116888694189E-2</v>
      </c>
      <c r="BP22">
        <v>4.8451332650322046E-2</v>
      </c>
      <c r="BQ22">
        <v>2.9614654633673052E-2</v>
      </c>
      <c r="BR22">
        <v>2.9612998133934514E-2</v>
      </c>
      <c r="BS22">
        <v>2.961260964878789E-2</v>
      </c>
    </row>
    <row r="23" spans="1:80" x14ac:dyDescent="0.25">
      <c r="A23">
        <v>21</v>
      </c>
      <c r="B23">
        <v>165</v>
      </c>
      <c r="C23">
        <v>3.6278269728480049E-2</v>
      </c>
      <c r="D23">
        <v>0.1673932786426201</v>
      </c>
      <c r="E23">
        <v>0.18056908165935281</v>
      </c>
      <c r="F23">
        <v>0.22934357133234479</v>
      </c>
      <c r="G23">
        <v>0.23987889467324561</v>
      </c>
      <c r="H23">
        <v>0.24571359374025531</v>
      </c>
      <c r="I23">
        <v>0.24845158745516535</v>
      </c>
      <c r="J23">
        <v>0.24908731015293847</v>
      </c>
      <c r="K23">
        <v>0.24962121758359859</v>
      </c>
      <c r="L23">
        <v>0.2</v>
      </c>
      <c r="M23">
        <v>0.2</v>
      </c>
      <c r="N23">
        <v>0.2</v>
      </c>
      <c r="O23">
        <v>0.2</v>
      </c>
      <c r="P23">
        <v>0.2</v>
      </c>
      <c r="Q23">
        <v>0.2</v>
      </c>
      <c r="R23">
        <v>0.2</v>
      </c>
      <c r="S23">
        <v>0.2</v>
      </c>
      <c r="T23">
        <v>0.2</v>
      </c>
      <c r="U23">
        <v>0.2</v>
      </c>
      <c r="V23">
        <v>0.2</v>
      </c>
      <c r="X23">
        <v>0.93694053857252413</v>
      </c>
      <c r="Y23">
        <v>266.24203275061615</v>
      </c>
      <c r="Z23">
        <v>6.6928445877643963</v>
      </c>
      <c r="AA23">
        <v>7.9287018005060821</v>
      </c>
      <c r="AB23">
        <v>8.3330032252598176</v>
      </c>
      <c r="AC23">
        <v>8.476114243717662</v>
      </c>
      <c r="AD23">
        <v>6.2635474436871581</v>
      </c>
      <c r="AE23">
        <v>6.2369327550118205</v>
      </c>
      <c r="AF23">
        <v>6.2413157142736182</v>
      </c>
      <c r="AG23">
        <v>5</v>
      </c>
      <c r="AH23">
        <v>5</v>
      </c>
      <c r="AI23">
        <v>5</v>
      </c>
      <c r="AJ23">
        <v>5</v>
      </c>
      <c r="AK23">
        <v>5</v>
      </c>
      <c r="AL23">
        <v>5</v>
      </c>
      <c r="AM23">
        <v>5</v>
      </c>
      <c r="AN23">
        <v>5</v>
      </c>
      <c r="AO23">
        <v>5</v>
      </c>
      <c r="AP23">
        <v>5</v>
      </c>
      <c r="AQ23">
        <v>5</v>
      </c>
      <c r="AS23">
        <v>0.2065626336349804</v>
      </c>
      <c r="AT23">
        <v>1.7794364903422768</v>
      </c>
      <c r="AU23">
        <v>1.2379428362889495</v>
      </c>
      <c r="AV23">
        <v>1.2323627835631246</v>
      </c>
      <c r="AW23">
        <v>1.2730540557963046</v>
      </c>
      <c r="AX23">
        <v>1.2838498876177431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N23">
        <v>0</v>
      </c>
      <c r="BO23">
        <v>5.471540690865892E-2</v>
      </c>
      <c r="BP23">
        <v>5.4765697872514112E-2</v>
      </c>
      <c r="BQ23">
        <v>3.3489511059743536E-2</v>
      </c>
      <c r="BR23">
        <v>3.3491109933363863E-2</v>
      </c>
      <c r="BS23">
        <v>3.3491483168437038E-2</v>
      </c>
    </row>
    <row r="24" spans="1:80" x14ac:dyDescent="0.25">
      <c r="A24">
        <v>22</v>
      </c>
      <c r="B24">
        <v>166</v>
      </c>
      <c r="C24">
        <v>3.5708504628419242E-2</v>
      </c>
      <c r="D24">
        <v>0.16144995049998875</v>
      </c>
      <c r="E24">
        <v>0.17545509292204278</v>
      </c>
      <c r="F24">
        <v>0.22527137735906808</v>
      </c>
      <c r="G24">
        <v>0.23678799056913749</v>
      </c>
      <c r="H24">
        <v>0.24366055111322849</v>
      </c>
      <c r="I24">
        <v>0.24745681766658498</v>
      </c>
      <c r="J24">
        <v>0.24898683146341716</v>
      </c>
      <c r="K24">
        <v>0.24962121758359859</v>
      </c>
      <c r="L24">
        <v>0.2</v>
      </c>
      <c r="M24">
        <v>0.2</v>
      </c>
      <c r="N24">
        <v>0.2</v>
      </c>
      <c r="O24">
        <v>0.2</v>
      </c>
      <c r="P24">
        <v>0.2</v>
      </c>
      <c r="Q24">
        <v>0.2</v>
      </c>
      <c r="R24">
        <v>0.2</v>
      </c>
      <c r="S24">
        <v>0.2</v>
      </c>
      <c r="T24">
        <v>0.2</v>
      </c>
      <c r="U24">
        <v>0.2</v>
      </c>
      <c r="V24">
        <v>0.2</v>
      </c>
      <c r="X24">
        <v>0.93694053857252413</v>
      </c>
      <c r="Y24">
        <v>261.28552172728132</v>
      </c>
      <c r="Z24">
        <v>6.668119357487222</v>
      </c>
      <c r="AA24">
        <v>7.9096657235787102</v>
      </c>
      <c r="AB24">
        <v>8.3308319185967292</v>
      </c>
      <c r="AC24">
        <v>8.4910355855390591</v>
      </c>
      <c r="AD24">
        <v>6.2508138438422423</v>
      </c>
      <c r="AE24">
        <v>6.2356599077041093</v>
      </c>
      <c r="AF24">
        <v>6.2413157142736182</v>
      </c>
      <c r="AG24">
        <v>5</v>
      </c>
      <c r="AH24">
        <v>5</v>
      </c>
      <c r="AI24">
        <v>5</v>
      </c>
      <c r="AJ24">
        <v>5</v>
      </c>
      <c r="AK24">
        <v>5</v>
      </c>
      <c r="AL24">
        <v>5</v>
      </c>
      <c r="AM24">
        <v>5</v>
      </c>
      <c r="AN24">
        <v>5</v>
      </c>
      <c r="AO24">
        <v>5</v>
      </c>
      <c r="AP24">
        <v>5</v>
      </c>
      <c r="AQ24">
        <v>5</v>
      </c>
      <c r="AS24">
        <v>0.2065626336349804</v>
      </c>
      <c r="AT24">
        <v>1.8429673294118423</v>
      </c>
      <c r="AU24">
        <v>1.2277652281050855</v>
      </c>
      <c r="AV24">
        <v>1.2179241300666381</v>
      </c>
      <c r="AW24">
        <v>1.25923106342688</v>
      </c>
      <c r="AX24">
        <v>1.2718276515077207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N24">
        <v>0</v>
      </c>
      <c r="BO24">
        <v>6.3530839069566372E-2</v>
      </c>
      <c r="BP24">
        <v>6.3750592058408981E-2</v>
      </c>
      <c r="BQ24">
        <v>3.9007606928561714E-2</v>
      </c>
      <c r="BR24">
        <v>3.9014868419199905E-2</v>
      </c>
      <c r="BS24">
        <v>3.9016566429205729E-2</v>
      </c>
    </row>
    <row r="25" spans="1:80" x14ac:dyDescent="0.25">
      <c r="A25">
        <v>23</v>
      </c>
      <c r="B25">
        <v>167</v>
      </c>
      <c r="C25">
        <v>3.5367957293724044E-2</v>
      </c>
      <c r="D25">
        <v>0.15676236112190878</v>
      </c>
      <c r="E25">
        <v>0.17126235335049064</v>
      </c>
      <c r="F25">
        <v>0.22184410255685519</v>
      </c>
      <c r="G25">
        <v>0.23406136934274441</v>
      </c>
      <c r="H25">
        <v>0.24170568071097778</v>
      </c>
      <c r="I25">
        <v>0.24630057699667912</v>
      </c>
      <c r="J25">
        <v>0.24863763543027875</v>
      </c>
      <c r="K25">
        <v>0.24962121758359859</v>
      </c>
      <c r="L25">
        <v>0.2</v>
      </c>
      <c r="M25">
        <v>0.2</v>
      </c>
      <c r="N25">
        <v>0.2</v>
      </c>
      <c r="O25">
        <v>0.2</v>
      </c>
      <c r="P25">
        <v>0.2</v>
      </c>
      <c r="Q25">
        <v>0.2</v>
      </c>
      <c r="R25">
        <v>0.2</v>
      </c>
      <c r="S25">
        <v>0.2</v>
      </c>
      <c r="T25">
        <v>0.2</v>
      </c>
      <c r="U25">
        <v>0.2</v>
      </c>
      <c r="V25">
        <v>0.2</v>
      </c>
      <c r="X25">
        <v>0.93694053857252413</v>
      </c>
      <c r="Y25">
        <v>256.13325606129195</v>
      </c>
      <c r="Z25">
        <v>6.6290416288332796</v>
      </c>
      <c r="AA25">
        <v>7.8779364224858428</v>
      </c>
      <c r="AB25">
        <v>8.3157161937175452</v>
      </c>
      <c r="AC25">
        <v>8.4928204891567489</v>
      </c>
      <c r="AD25">
        <v>6.2314632403052679</v>
      </c>
      <c r="AE25">
        <v>6.2298848012652686</v>
      </c>
      <c r="AF25">
        <v>6.2413157142736182</v>
      </c>
      <c r="AG25">
        <v>5</v>
      </c>
      <c r="AH25">
        <v>5</v>
      </c>
      <c r="AI25">
        <v>5</v>
      </c>
      <c r="AJ25">
        <v>5</v>
      </c>
      <c r="AK25">
        <v>5</v>
      </c>
      <c r="AL25">
        <v>5</v>
      </c>
      <c r="AM25">
        <v>5</v>
      </c>
      <c r="AN25">
        <v>5</v>
      </c>
      <c r="AO25">
        <v>5</v>
      </c>
      <c r="AP25">
        <v>5</v>
      </c>
      <c r="AQ25">
        <v>5</v>
      </c>
      <c r="AS25">
        <v>0.2065626336349804</v>
      </c>
      <c r="AT25">
        <v>1.9047723241252312</v>
      </c>
      <c r="AU25">
        <v>1.2210580693122641</v>
      </c>
      <c r="AV25">
        <v>1.2069052961060667</v>
      </c>
      <c r="AW25">
        <v>1.2481851162893878</v>
      </c>
      <c r="AX25">
        <v>1.2625920841735654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N25">
        <v>0</v>
      </c>
      <c r="BO25">
        <v>6.1804994713389003E-2</v>
      </c>
      <c r="BP25">
        <v>6.1865223704258884E-2</v>
      </c>
      <c r="BQ25">
        <v>3.7833171985391587E-2</v>
      </c>
      <c r="BR25">
        <v>3.7835175295956848E-2</v>
      </c>
      <c r="BS25">
        <v>3.7835643901708939E-2</v>
      </c>
    </row>
    <row r="26" spans="1:80" x14ac:dyDescent="0.25">
      <c r="A26">
        <v>24</v>
      </c>
      <c r="B26">
        <v>168</v>
      </c>
      <c r="C26">
        <v>3.5119976197546553E-2</v>
      </c>
      <c r="D26">
        <v>0.15263438357071632</v>
      </c>
      <c r="E26">
        <v>0.16742968807026934</v>
      </c>
      <c r="F26">
        <v>0.21863454369721044</v>
      </c>
      <c r="G26">
        <v>0.23140614685185038</v>
      </c>
      <c r="H26">
        <v>0.23969017082156618</v>
      </c>
      <c r="I26">
        <v>0.24495785655056412</v>
      </c>
      <c r="J26">
        <v>0.24798186207222669</v>
      </c>
      <c r="K26">
        <v>0.24959250246895695</v>
      </c>
      <c r="L26">
        <v>0.2</v>
      </c>
      <c r="M26">
        <v>0.2</v>
      </c>
      <c r="N26">
        <v>0.2</v>
      </c>
      <c r="O26">
        <v>0.2</v>
      </c>
      <c r="P26">
        <v>0.2</v>
      </c>
      <c r="Q26">
        <v>0.2</v>
      </c>
      <c r="R26">
        <v>0.2</v>
      </c>
      <c r="S26">
        <v>0.2</v>
      </c>
      <c r="T26">
        <v>0.2</v>
      </c>
      <c r="U26">
        <v>0.2</v>
      </c>
      <c r="V26">
        <v>0.2</v>
      </c>
      <c r="X26">
        <v>0.93694053857252413</v>
      </c>
      <c r="Y26">
        <v>250.1610823794104</v>
      </c>
      <c r="Z26">
        <v>6.5580761782445478</v>
      </c>
      <c r="AA26">
        <v>7.8205105702665847</v>
      </c>
      <c r="AB26">
        <v>8.2761024312377671</v>
      </c>
      <c r="AC26">
        <v>8.4721617081366549</v>
      </c>
      <c r="AD26">
        <v>6.2020145641928881</v>
      </c>
      <c r="AE26">
        <v>6.2156813012151728</v>
      </c>
      <c r="AF26">
        <v>6.240696648662249</v>
      </c>
      <c r="AG26">
        <v>5</v>
      </c>
      <c r="AH26">
        <v>5</v>
      </c>
      <c r="AI26">
        <v>5</v>
      </c>
      <c r="AJ26">
        <v>5</v>
      </c>
      <c r="AK26">
        <v>5</v>
      </c>
      <c r="AL26">
        <v>5</v>
      </c>
      <c r="AM26">
        <v>5</v>
      </c>
      <c r="AN26">
        <v>5</v>
      </c>
      <c r="AO26">
        <v>5</v>
      </c>
      <c r="AP26">
        <v>5</v>
      </c>
      <c r="AQ26">
        <v>5</v>
      </c>
      <c r="AS26">
        <v>0.2065626336349804</v>
      </c>
      <c r="AT26">
        <v>1.9604457383551235</v>
      </c>
      <c r="AU26">
        <v>1.2168937515144029</v>
      </c>
      <c r="AV26">
        <v>1.1986835957828215</v>
      </c>
      <c r="AW26">
        <v>1.2395944682184945</v>
      </c>
      <c r="AX26">
        <v>1.2557402882986854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N26">
        <v>0</v>
      </c>
      <c r="BO26">
        <v>5.5673414229893241E-2</v>
      </c>
      <c r="BP26">
        <v>5.5698224835259609E-2</v>
      </c>
      <c r="BQ26">
        <v>3.4058275550706681E-2</v>
      </c>
      <c r="BR26">
        <v>3.4059091725302845E-2</v>
      </c>
      <c r="BS26">
        <v>3.405928255948934E-2</v>
      </c>
    </row>
    <row r="27" spans="1:80" x14ac:dyDescent="0.25">
      <c r="A27">
        <v>25</v>
      </c>
      <c r="B27">
        <v>169</v>
      </c>
      <c r="C27">
        <v>3.7346903076747283E-2</v>
      </c>
      <c r="D27">
        <v>0.14733787733931827</v>
      </c>
      <c r="E27">
        <v>0.16247213520799464</v>
      </c>
      <c r="F27">
        <v>0.21440267368548938</v>
      </c>
      <c r="G27">
        <v>0.22782797323238255</v>
      </c>
      <c r="H27">
        <v>0.23686604391750624</v>
      </c>
      <c r="I27">
        <v>0.24292726286422456</v>
      </c>
      <c r="J27">
        <v>0.24676251741009469</v>
      </c>
      <c r="K27">
        <v>0.24938202825851782</v>
      </c>
      <c r="L27">
        <v>0.2</v>
      </c>
      <c r="M27">
        <v>0.2</v>
      </c>
      <c r="N27">
        <v>0.2</v>
      </c>
      <c r="O27">
        <v>0.2</v>
      </c>
      <c r="P27">
        <v>0.2</v>
      </c>
      <c r="Q27">
        <v>0.2</v>
      </c>
      <c r="R27">
        <v>0.2</v>
      </c>
      <c r="S27">
        <v>0.2</v>
      </c>
      <c r="T27">
        <v>0.2</v>
      </c>
      <c r="U27">
        <v>0.2</v>
      </c>
      <c r="V27">
        <v>0.2</v>
      </c>
      <c r="X27">
        <v>0.93694053857252413</v>
      </c>
      <c r="Y27">
        <v>242.86968334944174</v>
      </c>
      <c r="Z27">
        <v>6.4396438205865332</v>
      </c>
      <c r="AA27">
        <v>7.7263687492849051</v>
      </c>
      <c r="AB27">
        <v>8.2018377551390458</v>
      </c>
      <c r="AC27">
        <v>8.4204408347299378</v>
      </c>
      <c r="AD27">
        <v>6.1599810600729024</v>
      </c>
      <c r="AE27">
        <v>6.1907782783155545</v>
      </c>
      <c r="AF27">
        <v>6.2364261081226395</v>
      </c>
      <c r="AG27">
        <v>5</v>
      </c>
      <c r="AH27">
        <v>5</v>
      </c>
      <c r="AI27">
        <v>5</v>
      </c>
      <c r="AJ27">
        <v>5</v>
      </c>
      <c r="AK27">
        <v>5</v>
      </c>
      <c r="AL27">
        <v>5</v>
      </c>
      <c r="AM27">
        <v>5</v>
      </c>
      <c r="AN27">
        <v>5</v>
      </c>
      <c r="AO27">
        <v>5</v>
      </c>
      <c r="AP27">
        <v>5</v>
      </c>
      <c r="AQ27">
        <v>5</v>
      </c>
      <c r="AS27">
        <v>0.2065626336349804</v>
      </c>
      <c r="AT27">
        <v>2.0024789920202166</v>
      </c>
      <c r="AU27">
        <v>1.2150402563752747</v>
      </c>
      <c r="AV27">
        <v>1.1933159470967794</v>
      </c>
      <c r="AW27">
        <v>1.2341145125644297</v>
      </c>
      <c r="AX27">
        <v>1.2512037421834581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N27">
        <v>0</v>
      </c>
      <c r="BO27">
        <v>4.2033253665093126E-2</v>
      </c>
      <c r="BP27">
        <v>4.196274901042079E-2</v>
      </c>
      <c r="BQ27">
        <v>2.5646990026798801E-2</v>
      </c>
      <c r="BR27">
        <v>2.5644605184517326E-2</v>
      </c>
      <c r="BS27">
        <v>2.5644046968739783E-2</v>
      </c>
    </row>
    <row r="28" spans="1:80" x14ac:dyDescent="0.25">
      <c r="A28">
        <v>26</v>
      </c>
      <c r="B28">
        <v>170</v>
      </c>
      <c r="C28">
        <v>3.6813778242595345E-2</v>
      </c>
      <c r="D28">
        <v>0.14176607796469445</v>
      </c>
      <c r="E28">
        <v>0.15711835711310423</v>
      </c>
      <c r="F28">
        <v>0.20974229774812461</v>
      </c>
      <c r="G28">
        <v>0.22378925706544076</v>
      </c>
      <c r="H28">
        <v>0.23357099392594649</v>
      </c>
      <c r="I28">
        <v>0.24042431489721408</v>
      </c>
      <c r="J28">
        <v>0.24507406250275321</v>
      </c>
      <c r="K28">
        <v>0.24890931676680461</v>
      </c>
      <c r="L28">
        <v>0.20009442148879913</v>
      </c>
      <c r="M28">
        <v>0.2</v>
      </c>
      <c r="N28">
        <v>0.2</v>
      </c>
      <c r="O28">
        <v>0.2</v>
      </c>
      <c r="P28">
        <v>0.2</v>
      </c>
      <c r="Q28">
        <v>0.2</v>
      </c>
      <c r="R28">
        <v>0.2</v>
      </c>
      <c r="S28">
        <v>0.2</v>
      </c>
      <c r="T28">
        <v>0.2</v>
      </c>
      <c r="U28">
        <v>0.2</v>
      </c>
      <c r="V28">
        <v>0.2</v>
      </c>
      <c r="X28">
        <v>0.93694053857252413</v>
      </c>
      <c r="Y28">
        <v>234.90453318963677</v>
      </c>
      <c r="Z28">
        <v>6.2908562184404389</v>
      </c>
      <c r="AA28">
        <v>7.6077446819122683</v>
      </c>
      <c r="AB28">
        <v>8.1029389252918911</v>
      </c>
      <c r="AC28">
        <v>8.345522752634098</v>
      </c>
      <c r="AD28">
        <v>6.1064691656340448</v>
      </c>
      <c r="AE28">
        <v>6.155187713351669</v>
      </c>
      <c r="AF28">
        <v>6.2265431193097927</v>
      </c>
      <c r="AG28">
        <v>5</v>
      </c>
      <c r="AH28">
        <v>5</v>
      </c>
      <c r="AI28">
        <v>5</v>
      </c>
      <c r="AJ28">
        <v>5</v>
      </c>
      <c r="AK28">
        <v>5</v>
      </c>
      <c r="AL28">
        <v>5</v>
      </c>
      <c r="AM28">
        <v>5</v>
      </c>
      <c r="AN28">
        <v>5</v>
      </c>
      <c r="AO28">
        <v>5</v>
      </c>
      <c r="AP28">
        <v>5</v>
      </c>
      <c r="AQ28">
        <v>5</v>
      </c>
      <c r="AS28">
        <v>0.2065626336349804</v>
      </c>
      <c r="AT28">
        <v>2.0360665258357278</v>
      </c>
      <c r="AU28">
        <v>1.2141217079853355</v>
      </c>
      <c r="AV28">
        <v>1.1890773400286334</v>
      </c>
      <c r="AW28">
        <v>1.2298855249809952</v>
      </c>
      <c r="AX28">
        <v>1.2473822942946533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N28">
        <v>0</v>
      </c>
      <c r="BO28">
        <v>3.3587533815511154E-2</v>
      </c>
      <c r="BP28">
        <v>3.3395727753838089E-2</v>
      </c>
      <c r="BQ28">
        <v>2.0391694718375628E-2</v>
      </c>
      <c r="BR28">
        <v>2.0385215913364438E-2</v>
      </c>
      <c r="BS28">
        <v>2.0383699491262508E-2</v>
      </c>
    </row>
    <row r="29" spans="1:80" x14ac:dyDescent="0.25">
      <c r="A29">
        <v>27</v>
      </c>
      <c r="B29">
        <v>171</v>
      </c>
      <c r="C29">
        <v>3.6427873733688637E-2</v>
      </c>
      <c r="D29">
        <v>0.13643283573350365</v>
      </c>
      <c r="E29">
        <v>0.15178861845439401</v>
      </c>
      <c r="F29">
        <v>0.20500548532604695</v>
      </c>
      <c r="G29">
        <v>0.2195788425098108</v>
      </c>
      <c r="H29">
        <v>0.23003684432257074</v>
      </c>
      <c r="I29">
        <v>0.23762620200672691</v>
      </c>
      <c r="J29">
        <v>0.24304006816126872</v>
      </c>
      <c r="K29">
        <v>0.24823604368423488</v>
      </c>
      <c r="L29">
        <v>0.20047029584907775</v>
      </c>
      <c r="M29">
        <v>0.20000301923842007</v>
      </c>
      <c r="N29">
        <v>0.2</v>
      </c>
      <c r="O29">
        <v>0.2</v>
      </c>
      <c r="P29">
        <v>0.2</v>
      </c>
      <c r="Q29">
        <v>0.2</v>
      </c>
      <c r="R29">
        <v>0.2</v>
      </c>
      <c r="S29">
        <v>0.2</v>
      </c>
      <c r="T29">
        <v>0.2</v>
      </c>
      <c r="U29">
        <v>0.2</v>
      </c>
      <c r="V29">
        <v>0.2</v>
      </c>
      <c r="X29">
        <v>0.93694053857252413</v>
      </c>
      <c r="Y29">
        <v>226.89171755950039</v>
      </c>
      <c r="Z29">
        <v>6.1335117220824964</v>
      </c>
      <c r="AA29">
        <v>7.4803301086056528</v>
      </c>
      <c r="AB29">
        <v>7.9933342132896197</v>
      </c>
      <c r="AC29">
        <v>8.2594765952525258</v>
      </c>
      <c r="AD29">
        <v>6.0437236889996084</v>
      </c>
      <c r="AE29">
        <v>6.1102372148097341</v>
      </c>
      <c r="AF29">
        <v>6.2118066053638552</v>
      </c>
      <c r="AG29">
        <v>5</v>
      </c>
      <c r="AH29">
        <v>5</v>
      </c>
      <c r="AI29">
        <v>5</v>
      </c>
      <c r="AJ29">
        <v>5</v>
      </c>
      <c r="AK29">
        <v>5</v>
      </c>
      <c r="AL29">
        <v>5</v>
      </c>
      <c r="AM29">
        <v>5</v>
      </c>
      <c r="AN29">
        <v>5</v>
      </c>
      <c r="AO29">
        <v>5</v>
      </c>
      <c r="AP29">
        <v>5</v>
      </c>
      <c r="AQ29">
        <v>5</v>
      </c>
      <c r="AS29">
        <v>0.2065626336349804</v>
      </c>
      <c r="AT29">
        <v>2.0709567207288493</v>
      </c>
      <c r="AU29">
        <v>1.213407884770398</v>
      </c>
      <c r="AV29">
        <v>1.1842860528472006</v>
      </c>
      <c r="AW29">
        <v>1.2250872154228853</v>
      </c>
      <c r="AX29">
        <v>1.2427221309842857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N29">
        <v>0</v>
      </c>
      <c r="BO29">
        <v>3.4890194893121361E-2</v>
      </c>
      <c r="BP29">
        <v>3.4693201491578923E-2</v>
      </c>
      <c r="BQ29">
        <v>2.1184470013187275E-2</v>
      </c>
      <c r="BR29">
        <v>2.1177806228187789E-2</v>
      </c>
      <c r="BS29">
        <v>2.1176246411227201E-2</v>
      </c>
    </row>
    <row r="30" spans="1:80" x14ac:dyDescent="0.25">
      <c r="A30">
        <v>28</v>
      </c>
      <c r="B30">
        <v>172</v>
      </c>
      <c r="C30">
        <v>3.6125741774987355E-2</v>
      </c>
      <c r="D30">
        <v>0.1316215414538002</v>
      </c>
      <c r="E30">
        <v>0.14671486404370301</v>
      </c>
      <c r="F30">
        <v>0.20038978737437332</v>
      </c>
      <c r="G30">
        <v>0.21536640572072369</v>
      </c>
      <c r="H30">
        <v>0.22641103510956548</v>
      </c>
      <c r="I30">
        <v>0.23466040466606139</v>
      </c>
      <c r="J30">
        <v>0.24076903473138064</v>
      </c>
      <c r="K30">
        <v>0.24744418410290508</v>
      </c>
      <c r="L30">
        <v>0.20119496201923379</v>
      </c>
      <c r="M30">
        <v>0.20013615537871488</v>
      </c>
      <c r="N30">
        <v>0.2</v>
      </c>
      <c r="O30">
        <v>0.2</v>
      </c>
      <c r="P30">
        <v>0.2</v>
      </c>
      <c r="Q30">
        <v>0.2</v>
      </c>
      <c r="R30">
        <v>0.2</v>
      </c>
      <c r="S30">
        <v>0.2</v>
      </c>
      <c r="T30">
        <v>0.2</v>
      </c>
      <c r="U30">
        <v>0.2</v>
      </c>
      <c r="V30">
        <v>0.2</v>
      </c>
      <c r="X30">
        <v>0.93694053857252413</v>
      </c>
      <c r="Y30">
        <v>218.59791693424873</v>
      </c>
      <c r="Z30">
        <v>5.9586160847817577</v>
      </c>
      <c r="AA30">
        <v>7.3359608382482078</v>
      </c>
      <c r="AB30">
        <v>7.8649799607268056</v>
      </c>
      <c r="AC30">
        <v>8.1549480400824681</v>
      </c>
      <c r="AD30">
        <v>5.9673390101695354</v>
      </c>
      <c r="AE30">
        <v>6.0526029222817899</v>
      </c>
      <c r="AF30">
        <v>6.1919278654546588</v>
      </c>
      <c r="AG30">
        <v>5</v>
      </c>
      <c r="AH30">
        <v>5</v>
      </c>
      <c r="AI30">
        <v>5</v>
      </c>
      <c r="AJ30">
        <v>5</v>
      </c>
      <c r="AK30">
        <v>5</v>
      </c>
      <c r="AL30">
        <v>5</v>
      </c>
      <c r="AM30">
        <v>5</v>
      </c>
      <c r="AN30">
        <v>5</v>
      </c>
      <c r="AO30">
        <v>5</v>
      </c>
      <c r="AP30">
        <v>5</v>
      </c>
      <c r="AQ30">
        <v>5</v>
      </c>
      <c r="AS30">
        <v>0.2065626336349804</v>
      </c>
      <c r="AT30">
        <v>2.0635839567582428</v>
      </c>
      <c r="AU30">
        <v>1.2127775149643745</v>
      </c>
      <c r="AV30">
        <v>1.1787103283324256</v>
      </c>
      <c r="AW30">
        <v>1.2194467770831352</v>
      </c>
      <c r="AX30">
        <v>1.2373303345352704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N30">
        <v>0</v>
      </c>
      <c r="BO30">
        <v>3.6699187482376092E-2</v>
      </c>
      <c r="BP30">
        <v>3.6585644672918083E-2</v>
      </c>
      <c r="BQ30">
        <v>2.2353927206225661E-2</v>
      </c>
      <c r="BR30">
        <v>2.2350097389036917E-2</v>
      </c>
      <c r="BS30">
        <v>2.2349201051696004E-2</v>
      </c>
    </row>
    <row r="31" spans="1:80" s="113" customFormat="1" x14ac:dyDescent="0.25">
      <c r="A31">
        <v>29</v>
      </c>
      <c r="B31">
        <v>173</v>
      </c>
      <c r="C31">
        <v>3.591889165138986E-2</v>
      </c>
      <c r="D31">
        <v>0.12743566228419992</v>
      </c>
      <c r="E31">
        <v>0.14198419721066044</v>
      </c>
      <c r="F31">
        <v>0.19596844709217201</v>
      </c>
      <c r="G31">
        <v>0.21121872858106036</v>
      </c>
      <c r="H31">
        <v>0.2227587072204221</v>
      </c>
      <c r="I31">
        <v>0.23159257704706751</v>
      </c>
      <c r="J31">
        <v>0.23832809061617538</v>
      </c>
      <c r="K31">
        <v>0.24659377891420781</v>
      </c>
      <c r="L31">
        <v>0.20225921789901929</v>
      </c>
      <c r="M31">
        <v>0.20057221757483706</v>
      </c>
      <c r="N31">
        <v>0.20001151934662639</v>
      </c>
      <c r="O31">
        <v>0.2</v>
      </c>
      <c r="P31">
        <v>0.2</v>
      </c>
      <c r="Q31">
        <v>0.2</v>
      </c>
      <c r="R31">
        <v>0.2</v>
      </c>
      <c r="S31">
        <v>0.2</v>
      </c>
      <c r="T31">
        <v>0.2</v>
      </c>
      <c r="U31">
        <v>0.2</v>
      </c>
      <c r="V31">
        <v>0.2</v>
      </c>
      <c r="W31"/>
      <c r="X31">
        <v>0.93694053857252413</v>
      </c>
      <c r="Y31">
        <v>211.41763120722479</v>
      </c>
      <c r="Z31">
        <v>5.7884103928313468</v>
      </c>
      <c r="AA31">
        <v>7.1920514103060187</v>
      </c>
      <c r="AB31">
        <v>7.7322000300953135</v>
      </c>
      <c r="AC31">
        <v>8.0426363594990313</v>
      </c>
      <c r="AD31">
        <v>5.8882917122780443</v>
      </c>
      <c r="AE31">
        <v>5.9906124727018817</v>
      </c>
      <c r="AF31">
        <v>6.1705743357427281</v>
      </c>
      <c r="AG31">
        <v>5</v>
      </c>
      <c r="AH31">
        <v>5</v>
      </c>
      <c r="AI31">
        <v>5</v>
      </c>
      <c r="AJ31">
        <v>5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/>
      <c r="AS31">
        <v>0.2065626336349804</v>
      </c>
      <c r="AT31">
        <v>0.95682199716020266</v>
      </c>
      <c r="AU31">
        <v>1.2125933158592741</v>
      </c>
      <c r="AV31">
        <v>1.1742861089248671</v>
      </c>
      <c r="AW31">
        <v>1.2149524826327027</v>
      </c>
      <c r="AX31">
        <v>1.2331021513158904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/>
      <c r="BN31">
        <v>0</v>
      </c>
      <c r="BO31">
        <v>2.8351827662174769E-2</v>
      </c>
      <c r="BP31">
        <v>2.8140847131417939E-2</v>
      </c>
      <c r="BQ31">
        <v>1.7176564340314754E-2</v>
      </c>
      <c r="BR31">
        <v>1.7169454255429501E-2</v>
      </c>
      <c r="BS31">
        <v>1.716779024563566E-2</v>
      </c>
      <c r="BT31"/>
      <c r="BU31"/>
      <c r="BV31"/>
      <c r="BW31"/>
      <c r="BX31"/>
      <c r="BY31"/>
      <c r="BZ31"/>
      <c r="CA31"/>
      <c r="CB31"/>
    </row>
    <row r="32" spans="1:80" x14ac:dyDescent="0.25">
      <c r="A32">
        <v>30</v>
      </c>
      <c r="B32">
        <v>174</v>
      </c>
      <c r="C32">
        <v>3.568463075365385E-2</v>
      </c>
      <c r="D32">
        <v>0.12197696782004303</v>
      </c>
      <c r="E32">
        <v>0.13589540925163607</v>
      </c>
      <c r="F32">
        <v>0.19022092996537412</v>
      </c>
      <c r="G32">
        <v>0.2058033923672509</v>
      </c>
      <c r="H32">
        <v>0.21793955825024514</v>
      </c>
      <c r="I32">
        <v>0.22747664911939525</v>
      </c>
      <c r="J32">
        <v>0.23496639655543111</v>
      </c>
      <c r="K32">
        <v>0.24511906124207067</v>
      </c>
      <c r="L32">
        <v>0.20325736778922085</v>
      </c>
      <c r="M32">
        <v>0.20115100818651388</v>
      </c>
      <c r="N32">
        <v>0.2001331188274425</v>
      </c>
      <c r="O32">
        <v>0.2</v>
      </c>
      <c r="P32">
        <v>0.2</v>
      </c>
      <c r="Q32">
        <v>0.2</v>
      </c>
      <c r="R32">
        <v>0.2</v>
      </c>
      <c r="S32">
        <v>0.2</v>
      </c>
      <c r="T32">
        <v>0.2</v>
      </c>
      <c r="U32">
        <v>0.2</v>
      </c>
      <c r="V32">
        <v>0.2</v>
      </c>
      <c r="X32">
        <v>0.93694053857252413</v>
      </c>
      <c r="Y32">
        <v>201.95630196022566</v>
      </c>
      <c r="Z32">
        <v>5.5621753629511268</v>
      </c>
      <c r="AA32">
        <v>7.0009053775886683</v>
      </c>
      <c r="AB32">
        <v>7.5551571801042794</v>
      </c>
      <c r="AC32">
        <v>7.8909115334974373</v>
      </c>
      <c r="AD32">
        <v>5.7817498566692693</v>
      </c>
      <c r="AE32">
        <v>5.9049040196425038</v>
      </c>
      <c r="AF32">
        <v>6.1334501114003004</v>
      </c>
      <c r="AG32">
        <v>5</v>
      </c>
      <c r="AH32">
        <v>5</v>
      </c>
      <c r="AI32">
        <v>5</v>
      </c>
      <c r="AJ32">
        <v>5</v>
      </c>
      <c r="AK32">
        <v>5</v>
      </c>
      <c r="AL32">
        <v>5</v>
      </c>
      <c r="AM32">
        <v>5</v>
      </c>
      <c r="AN32">
        <v>5</v>
      </c>
      <c r="AO32">
        <v>5</v>
      </c>
      <c r="AP32">
        <v>5</v>
      </c>
      <c r="AQ32">
        <v>5</v>
      </c>
      <c r="AS32">
        <v>0.2065626336349804</v>
      </c>
      <c r="AT32">
        <v>0.1877924102390042</v>
      </c>
      <c r="AU32">
        <v>1.2126342394674587</v>
      </c>
      <c r="AV32">
        <v>1.1683726526863456</v>
      </c>
      <c r="AW32">
        <v>1.2087788854122985</v>
      </c>
      <c r="AX32">
        <v>1.227226372286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N32">
        <v>0</v>
      </c>
      <c r="BO32">
        <v>3.3330605303981665E-2</v>
      </c>
      <c r="BP32">
        <v>3.315537209409148E-2</v>
      </c>
      <c r="BQ32">
        <v>2.0248031646981843E-2</v>
      </c>
      <c r="BR32">
        <v>2.0242117556403972E-2</v>
      </c>
      <c r="BS32">
        <v>2.0240733367867896E-2</v>
      </c>
    </row>
    <row r="33" spans="1:80" x14ac:dyDescent="0.25">
      <c r="A33">
        <v>31</v>
      </c>
      <c r="B33">
        <v>175</v>
      </c>
      <c r="C33">
        <v>0.21431242743356874</v>
      </c>
      <c r="D33">
        <v>0.21431242743356874</v>
      </c>
      <c r="E33">
        <v>0.21431242743356874</v>
      </c>
      <c r="F33">
        <v>0.24908731015293847</v>
      </c>
      <c r="G33">
        <v>0.24908731015293847</v>
      </c>
      <c r="H33">
        <v>0.24908731015293847</v>
      </c>
      <c r="I33">
        <v>0.24908731015293847</v>
      </c>
      <c r="J33">
        <v>0.24908731015293847</v>
      </c>
      <c r="K33">
        <v>0.34539840187492837</v>
      </c>
      <c r="L33">
        <v>0.34539840187492837</v>
      </c>
      <c r="M33">
        <v>0.34539840187492837</v>
      </c>
      <c r="N33">
        <v>0.34539840187492837</v>
      </c>
      <c r="O33">
        <v>0.34539840187492837</v>
      </c>
      <c r="P33">
        <v>0.34539840187492815</v>
      </c>
      <c r="Q33">
        <v>0.2</v>
      </c>
      <c r="R33">
        <v>0.2</v>
      </c>
      <c r="S33">
        <v>0.2</v>
      </c>
      <c r="T33">
        <v>0.2</v>
      </c>
      <c r="U33">
        <v>0.2</v>
      </c>
      <c r="V33">
        <v>0.2</v>
      </c>
      <c r="X33">
        <v>1.828198249701747E-3</v>
      </c>
      <c r="Y33">
        <v>0.63520819270400297</v>
      </c>
      <c r="Z33">
        <v>4.0967862966525042</v>
      </c>
      <c r="AA33">
        <v>17.195520184907924</v>
      </c>
      <c r="AB33">
        <v>33.33781869232336</v>
      </c>
      <c r="AC33">
        <v>43.968214411698092</v>
      </c>
      <c r="AD33">
        <v>43.723187731471434</v>
      </c>
      <c r="AE33">
        <v>35.042810354975742</v>
      </c>
      <c r="AF33">
        <v>29.397904036832795</v>
      </c>
      <c r="AG33">
        <v>17.102263866897037</v>
      </c>
      <c r="AH33">
        <v>11.41589167814638</v>
      </c>
      <c r="AI33">
        <v>9.367706802819848</v>
      </c>
      <c r="AJ33">
        <v>8.7874258201110731</v>
      </c>
      <c r="AK33">
        <v>8.6601584280760946</v>
      </c>
      <c r="AL33">
        <v>5</v>
      </c>
      <c r="AM33">
        <v>5</v>
      </c>
      <c r="AN33">
        <v>5</v>
      </c>
      <c r="AO33">
        <v>5</v>
      </c>
      <c r="AP33">
        <v>5</v>
      </c>
      <c r="AQ33">
        <v>5</v>
      </c>
      <c r="AS33">
        <v>0.2065626336349804</v>
      </c>
      <c r="AT33">
        <v>3.8277603874574857E-2</v>
      </c>
      <c r="AU33">
        <v>1.2133093750537143</v>
      </c>
      <c r="AV33">
        <v>1.1610135507855794</v>
      </c>
      <c r="AW33">
        <v>1.2008834284088354</v>
      </c>
      <c r="AX33">
        <v>1.2196049067525776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N33">
        <v>0</v>
      </c>
      <c r="BO33">
        <v>3.8277603874574857E-2</v>
      </c>
      <c r="BP33">
        <v>3.8095231592881446E-2</v>
      </c>
      <c r="BQ33">
        <v>2.32676665537228E-2</v>
      </c>
      <c r="BR33">
        <v>2.3261473287079622E-2</v>
      </c>
      <c r="BS33">
        <v>2.3260023367551765E-2</v>
      </c>
    </row>
    <row r="34" spans="1:80" x14ac:dyDescent="0.25">
      <c r="A34">
        <v>32</v>
      </c>
      <c r="B34">
        <v>176</v>
      </c>
      <c r="C34">
        <v>0.1955782981070873</v>
      </c>
      <c r="D34">
        <v>0.20729074546218185</v>
      </c>
      <c r="E34">
        <v>0.20791958092520599</v>
      </c>
      <c r="F34">
        <v>0.24341886701403218</v>
      </c>
      <c r="G34">
        <v>0.2440372763192612</v>
      </c>
      <c r="H34">
        <v>0.24465568562449022</v>
      </c>
      <c r="I34">
        <v>0.24527409492971924</v>
      </c>
      <c r="J34">
        <v>0.24589250423494827</v>
      </c>
      <c r="K34">
        <v>0.34285707443274577</v>
      </c>
      <c r="L34">
        <v>0.34346706612816075</v>
      </c>
      <c r="M34">
        <v>0.34407705782357573</v>
      </c>
      <c r="N34">
        <v>0.34468704951899071</v>
      </c>
      <c r="O34">
        <v>0.34526305117013828</v>
      </c>
      <c r="P34">
        <v>0.34539840187492815</v>
      </c>
      <c r="Q34">
        <v>0.2</v>
      </c>
      <c r="R34">
        <v>0.2</v>
      </c>
      <c r="S34">
        <v>0.2</v>
      </c>
      <c r="T34">
        <v>0.2</v>
      </c>
      <c r="U34">
        <v>0.2</v>
      </c>
      <c r="V34">
        <v>0.2</v>
      </c>
      <c r="X34">
        <v>3.787895759060482E-2</v>
      </c>
      <c r="Y34">
        <v>0.61530025745631767</v>
      </c>
      <c r="Z34">
        <v>4.0858951058280395</v>
      </c>
      <c r="AA34">
        <v>16.795091780948393</v>
      </c>
      <c r="AB34">
        <v>32.647935921639672</v>
      </c>
      <c r="AC34">
        <v>43.061989647107524</v>
      </c>
      <c r="AD34">
        <v>41.919117939337816</v>
      </c>
      <c r="AE34">
        <v>33.890157695613262</v>
      </c>
      <c r="AF34">
        <v>28.871407761174144</v>
      </c>
      <c r="AG34">
        <v>16.920736397498505</v>
      </c>
      <c r="AH34">
        <v>11.360655518445377</v>
      </c>
      <c r="AI34">
        <v>9.3483740767623456</v>
      </c>
      <c r="AJ34">
        <v>8.7839809560457986</v>
      </c>
      <c r="AK34">
        <v>8.6601584280760946</v>
      </c>
      <c r="AL34">
        <v>5</v>
      </c>
      <c r="AM34">
        <v>5</v>
      </c>
      <c r="AN34">
        <v>5</v>
      </c>
      <c r="AO34">
        <v>5</v>
      </c>
      <c r="AP34">
        <v>5</v>
      </c>
      <c r="AQ34">
        <v>5</v>
      </c>
      <c r="AS34">
        <v>0.21996736938071043</v>
      </c>
      <c r="AT34">
        <v>8.5805074598065328E-2</v>
      </c>
      <c r="AU34">
        <v>1.1473351673308172</v>
      </c>
      <c r="AV34">
        <v>0.80875792105759203</v>
      </c>
      <c r="AW34">
        <v>0.18363093635411398</v>
      </c>
      <c r="AX34">
        <v>3.0014236836143994E-2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N34">
        <v>4.9455495086633119E-2</v>
      </c>
      <c r="BO34">
        <v>4.9136318122528222E-2</v>
      </c>
      <c r="BP34">
        <v>4.9097369632151347E-2</v>
      </c>
      <c r="BQ34">
        <v>3.0015976891520961E-2</v>
      </c>
      <c r="BR34">
        <v>3.001456762511856E-2</v>
      </c>
      <c r="BS34">
        <v>3.0014236836143994E-2</v>
      </c>
    </row>
    <row r="35" spans="1:80" x14ac:dyDescent="0.25">
      <c r="A35">
        <v>33</v>
      </c>
      <c r="B35">
        <v>177</v>
      </c>
      <c r="C35">
        <v>0.1783417826529427</v>
      </c>
      <c r="D35">
        <v>0.20008436116023146</v>
      </c>
      <c r="E35">
        <v>0.20133072378939593</v>
      </c>
      <c r="F35">
        <v>0.23755972087814062</v>
      </c>
      <c r="G35">
        <v>0.23878424308222301</v>
      </c>
      <c r="H35">
        <v>0.24000992698699766</v>
      </c>
      <c r="I35">
        <v>0.24123674355902261</v>
      </c>
      <c r="J35">
        <v>0.24246466450990337</v>
      </c>
      <c r="K35">
        <v>0.34007713566935238</v>
      </c>
      <c r="L35">
        <v>0.34129070670061423</v>
      </c>
      <c r="M35">
        <v>0.34250525947363603</v>
      </c>
      <c r="N35">
        <v>0.34372077506662624</v>
      </c>
      <c r="O35">
        <v>0.34490326011781897</v>
      </c>
      <c r="P35">
        <v>0.34539580052188307</v>
      </c>
      <c r="Q35">
        <v>0.2</v>
      </c>
      <c r="R35">
        <v>0.2</v>
      </c>
      <c r="S35">
        <v>0.2</v>
      </c>
      <c r="T35">
        <v>0.2</v>
      </c>
      <c r="U35">
        <v>0.2</v>
      </c>
      <c r="V35">
        <v>0.2</v>
      </c>
      <c r="X35">
        <v>6.5003424693030984E-2</v>
      </c>
      <c r="Y35">
        <v>0.59950318791929402</v>
      </c>
      <c r="Z35">
        <v>4.0370054805964761</v>
      </c>
      <c r="AA35">
        <v>16.380859533383301</v>
      </c>
      <c r="AB35">
        <v>30.802172014634202</v>
      </c>
      <c r="AC35">
        <v>40.57160351858365</v>
      </c>
      <c r="AD35">
        <v>39.808878676398876</v>
      </c>
      <c r="AE35">
        <v>32.521002704854723</v>
      </c>
      <c r="AF35">
        <v>28.228215777106829</v>
      </c>
      <c r="AG35">
        <v>16.696919678974822</v>
      </c>
      <c r="AH35">
        <v>11.2925268036969</v>
      </c>
      <c r="AI35">
        <v>9.3220937477954084</v>
      </c>
      <c r="AJ35">
        <v>8.7748178134572097</v>
      </c>
      <c r="AK35">
        <v>8.6600932039782244</v>
      </c>
      <c r="AL35">
        <v>5</v>
      </c>
      <c r="AM35">
        <v>5</v>
      </c>
      <c r="AN35">
        <v>5</v>
      </c>
      <c r="AO35">
        <v>5</v>
      </c>
      <c r="AP35">
        <v>5</v>
      </c>
      <c r="AQ35">
        <v>5</v>
      </c>
      <c r="AS35">
        <v>0.2340684913742071</v>
      </c>
      <c r="AT35">
        <v>0.1201423657208244</v>
      </c>
      <c r="AU35">
        <v>1.1031220204512251</v>
      </c>
      <c r="AV35">
        <v>0.37426253395715314</v>
      </c>
      <c r="AW35">
        <v>2.4819712803578212E-2</v>
      </c>
      <c r="AX35">
        <v>2.4819024797507156E-2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N35">
        <v>4.1225589095922811E-2</v>
      </c>
      <c r="BO35">
        <v>4.0701324485568464E-2</v>
      </c>
      <c r="BP35">
        <v>4.0614420265145626E-2</v>
      </c>
      <c r="BQ35">
        <v>2.4822652168309329E-2</v>
      </c>
      <c r="BR35">
        <v>2.4819712803578212E-2</v>
      </c>
      <c r="BS35">
        <v>2.4819024797507156E-2</v>
      </c>
    </row>
    <row r="36" spans="1:80" x14ac:dyDescent="0.25">
      <c r="A36">
        <v>34</v>
      </c>
      <c r="B36">
        <v>178</v>
      </c>
      <c r="C36">
        <v>0.16755732280533797</v>
      </c>
      <c r="D36">
        <v>0.1940064714949328</v>
      </c>
      <c r="E36">
        <v>0.19575005774594972</v>
      </c>
      <c r="F36">
        <v>0.23260855081371845</v>
      </c>
      <c r="G36">
        <v>0.23431802862994969</v>
      </c>
      <c r="H36">
        <v>0.2360314588227507</v>
      </c>
      <c r="I36">
        <v>0.23774867910898811</v>
      </c>
      <c r="J36">
        <v>0.23946953429596687</v>
      </c>
      <c r="K36">
        <v>0.33761628897478102</v>
      </c>
      <c r="L36">
        <v>0.33931989552157987</v>
      </c>
      <c r="M36">
        <v>0.34102653377316905</v>
      </c>
      <c r="N36">
        <v>0.34273610934048582</v>
      </c>
      <c r="O36">
        <v>0.34441458089562937</v>
      </c>
      <c r="P36">
        <v>0.34533799283135996</v>
      </c>
      <c r="Q36">
        <v>0.2</v>
      </c>
      <c r="R36">
        <v>0.2</v>
      </c>
      <c r="S36">
        <v>0.2</v>
      </c>
      <c r="T36">
        <v>0.2</v>
      </c>
      <c r="U36">
        <v>0.2</v>
      </c>
      <c r="V36">
        <v>0.2</v>
      </c>
      <c r="X36">
        <v>8.8271453707821121E-2</v>
      </c>
      <c r="Y36">
        <v>0.5895166277166739</v>
      </c>
      <c r="Z36">
        <v>3.9904570109583473</v>
      </c>
      <c r="AA36">
        <v>16.032186102989321</v>
      </c>
      <c r="AB36">
        <v>29.214625403945906</v>
      </c>
      <c r="AC36">
        <v>38.575337707173382</v>
      </c>
      <c r="AD36">
        <v>38.089485544079004</v>
      </c>
      <c r="AE36">
        <v>31.383456007926199</v>
      </c>
      <c r="AF36">
        <v>27.677205163485095</v>
      </c>
      <c r="AG36">
        <v>16.499342083615979</v>
      </c>
      <c r="AH36">
        <v>11.229431146865521</v>
      </c>
      <c r="AI36">
        <v>9.2953117835985655</v>
      </c>
      <c r="AJ36">
        <v>8.762367495201854</v>
      </c>
      <c r="AK36">
        <v>8.6586435517585745</v>
      </c>
      <c r="AL36">
        <v>5</v>
      </c>
      <c r="AM36">
        <v>5</v>
      </c>
      <c r="AN36">
        <v>5</v>
      </c>
      <c r="AO36">
        <v>5</v>
      </c>
      <c r="AP36">
        <v>5</v>
      </c>
      <c r="AQ36">
        <v>5</v>
      </c>
      <c r="AS36">
        <v>0.24796647011736703</v>
      </c>
      <c r="AT36">
        <v>0.14761870419869982</v>
      </c>
      <c r="AU36">
        <v>1.0706685998148171</v>
      </c>
      <c r="AV36">
        <v>4.1071915895261026E-2</v>
      </c>
      <c r="AW36">
        <v>2.2036305329859739E-2</v>
      </c>
      <c r="AX36">
        <v>2.2034866750881333E-2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N36">
        <v>3.7166007757950058E-2</v>
      </c>
      <c r="BO36">
        <v>3.6271183875240268E-2</v>
      </c>
      <c r="BP36">
        <v>3.6089669146661264E-2</v>
      </c>
      <c r="BQ36">
        <v>2.2042450976514642E-2</v>
      </c>
      <c r="BR36">
        <v>2.2036305329859739E-2</v>
      </c>
      <c r="BS36">
        <v>2.2034866750881333E-2</v>
      </c>
    </row>
    <row r="37" spans="1:80" s="113" customFormat="1" x14ac:dyDescent="0.25">
      <c r="A37">
        <v>35</v>
      </c>
      <c r="B37">
        <v>179</v>
      </c>
      <c r="C37">
        <v>0.18932376651564428</v>
      </c>
      <c r="D37">
        <v>0.18751102408703921</v>
      </c>
      <c r="E37">
        <v>0.18976443628403289</v>
      </c>
      <c r="F37">
        <v>0.22728486377947194</v>
      </c>
      <c r="G37">
        <v>0.22949156599906934</v>
      </c>
      <c r="H37">
        <v>0.23170681198746462</v>
      </c>
      <c r="I37">
        <v>0.23393014153526184</v>
      </c>
      <c r="J37">
        <v>0.23616112024595032</v>
      </c>
      <c r="K37">
        <v>0.33486177394897665</v>
      </c>
      <c r="L37">
        <v>0.33707569485205841</v>
      </c>
      <c r="M37">
        <v>0.33929565865297995</v>
      </c>
      <c r="N37">
        <v>0.34152141931975044</v>
      </c>
      <c r="O37">
        <v>0.34371882435352602</v>
      </c>
      <c r="P37">
        <v>0.34515660932832259</v>
      </c>
      <c r="Q37">
        <v>0.2</v>
      </c>
      <c r="R37">
        <v>0.2</v>
      </c>
      <c r="S37">
        <v>0.2</v>
      </c>
      <c r="T37">
        <v>0.2</v>
      </c>
      <c r="U37">
        <v>0.2</v>
      </c>
      <c r="V37">
        <v>0.2</v>
      </c>
      <c r="W37"/>
      <c r="X37">
        <v>0.11628313034819467</v>
      </c>
      <c r="Y37">
        <v>0.58441332457423056</v>
      </c>
      <c r="Z37">
        <v>3.9450074939525424</v>
      </c>
      <c r="AA37">
        <v>15.386532403447717</v>
      </c>
      <c r="AB37">
        <v>27.709528519926884</v>
      </c>
      <c r="AC37">
        <v>36.667519919936751</v>
      </c>
      <c r="AD37">
        <v>36.42703244908612</v>
      </c>
      <c r="AE37">
        <v>30.26437913267597</v>
      </c>
      <c r="AF37">
        <v>27.119094670813947</v>
      </c>
      <c r="AG37">
        <v>16.291712552385793</v>
      </c>
      <c r="AH37">
        <v>11.158423012460259</v>
      </c>
      <c r="AI37">
        <v>9.2622511267131191</v>
      </c>
      <c r="AJ37">
        <v>8.7446306880294031</v>
      </c>
      <c r="AK37">
        <v>8.6540933416321444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/>
      <c r="AS37">
        <v>0.26625075076374743</v>
      </c>
      <c r="AT37">
        <v>0.17819943588329212</v>
      </c>
      <c r="AU37">
        <v>1.0360948591441539</v>
      </c>
      <c r="AV37">
        <v>2.8026734371405248E-2</v>
      </c>
      <c r="AW37">
        <v>2.8024913759515848E-2</v>
      </c>
      <c r="AX37">
        <v>2.8024487427764578E-2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/>
      <c r="BN37">
        <v>4.6295957286753939E-2</v>
      </c>
      <c r="BO37">
        <v>4.5898490557334845E-2</v>
      </c>
      <c r="BP37">
        <v>4.5845243268029308E-2</v>
      </c>
      <c r="BQ37">
        <v>2.8026734371405248E-2</v>
      </c>
      <c r="BR37">
        <v>2.8024913759515848E-2</v>
      </c>
      <c r="BS37">
        <v>2.8024487427764578E-2</v>
      </c>
      <c r="BT37"/>
      <c r="BU37"/>
      <c r="BV37"/>
      <c r="BW37"/>
      <c r="BX37"/>
      <c r="BY37"/>
      <c r="BZ37"/>
      <c r="CA37"/>
      <c r="CB37"/>
    </row>
    <row r="38" spans="1:80" x14ac:dyDescent="0.25">
      <c r="A38">
        <v>36</v>
      </c>
      <c r="B38">
        <v>180</v>
      </c>
      <c r="C38">
        <v>0.18158490818828357</v>
      </c>
      <c r="D38">
        <v>0.18144567293497768</v>
      </c>
      <c r="E38">
        <v>0.18415213033615119</v>
      </c>
      <c r="F38">
        <v>0.22230226754901586</v>
      </c>
      <c r="G38">
        <v>0.22494962525172818</v>
      </c>
      <c r="H38">
        <v>0.22761264431698466</v>
      </c>
      <c r="I38">
        <v>0.23029027944543543</v>
      </c>
      <c r="J38">
        <v>0.23298155693932948</v>
      </c>
      <c r="K38">
        <v>0.33218841007057676</v>
      </c>
      <c r="L38">
        <v>0.33486680066131691</v>
      </c>
      <c r="M38">
        <v>0.33755537858972207</v>
      </c>
      <c r="N38">
        <v>0.34025363115045421</v>
      </c>
      <c r="O38">
        <v>0.34292719605979377</v>
      </c>
      <c r="P38">
        <v>0.34484483009609013</v>
      </c>
      <c r="Q38">
        <v>0.20000607171337978</v>
      </c>
      <c r="R38">
        <v>0.2</v>
      </c>
      <c r="S38">
        <v>0.2</v>
      </c>
      <c r="T38">
        <v>0.2</v>
      </c>
      <c r="U38">
        <v>0.2</v>
      </c>
      <c r="V38">
        <v>0.2</v>
      </c>
      <c r="X38">
        <v>0.14679965708582129</v>
      </c>
      <c r="Y38">
        <v>0.58005301969177292</v>
      </c>
      <c r="Z38">
        <v>3.8875465202628146</v>
      </c>
      <c r="AA38">
        <v>14.7636091941543</v>
      </c>
      <c r="AB38">
        <v>26.245141560905811</v>
      </c>
      <c r="AC38">
        <v>34.778811738233834</v>
      </c>
      <c r="AD38">
        <v>34.75601936501112</v>
      </c>
      <c r="AE38">
        <v>29.126729756706656</v>
      </c>
      <c r="AF38">
        <v>26.539104799982812</v>
      </c>
      <c r="AG38">
        <v>16.075911064840753</v>
      </c>
      <c r="AH38">
        <v>11.085844046554683</v>
      </c>
      <c r="AI38">
        <v>9.2277398935492183</v>
      </c>
      <c r="AJ38">
        <v>8.7244441961138506</v>
      </c>
      <c r="AK38">
        <v>8.646269049828291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S38">
        <v>0.27549646515209147</v>
      </c>
      <c r="AT38">
        <v>0.20215803281576616</v>
      </c>
      <c r="AU38">
        <v>1.0123463391816829</v>
      </c>
      <c r="AV38">
        <v>2.3845035907946125E-2</v>
      </c>
      <c r="AW38">
        <v>2.384119211248166E-2</v>
      </c>
      <c r="AX38">
        <v>2.3840292397773456E-2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N38">
        <v>3.9762241125970661E-2</v>
      </c>
      <c r="BO38">
        <v>3.9134012985927995E-2</v>
      </c>
      <c r="BP38">
        <v>3.9020389012380974E-2</v>
      </c>
      <c r="BQ38">
        <v>2.3845035907946125E-2</v>
      </c>
      <c r="BR38">
        <v>2.384119211248166E-2</v>
      </c>
      <c r="BS38">
        <v>2.3840292397773456E-2</v>
      </c>
    </row>
    <row r="39" spans="1:80" x14ac:dyDescent="0.25">
      <c r="A39">
        <v>37</v>
      </c>
      <c r="B39">
        <v>181</v>
      </c>
      <c r="C39">
        <v>0.1739367213970687</v>
      </c>
      <c r="D39">
        <v>0.17546112811991643</v>
      </c>
      <c r="E39">
        <v>0.17859202637117449</v>
      </c>
      <c r="F39">
        <v>0.21736983626094011</v>
      </c>
      <c r="G39">
        <v>0.22043040133168787</v>
      </c>
      <c r="H39">
        <v>0.22351678469290417</v>
      </c>
      <c r="I39">
        <v>0.22662695966499047</v>
      </c>
      <c r="J39">
        <v>0.22975905914552017</v>
      </c>
      <c r="K39">
        <v>0.32945435947295643</v>
      </c>
      <c r="L39">
        <v>0.3325822687939442</v>
      </c>
      <c r="M39">
        <v>0.3357256832907024</v>
      </c>
      <c r="N39">
        <v>0.3388836829268686</v>
      </c>
      <c r="O39">
        <v>0.34202157456496157</v>
      </c>
      <c r="P39">
        <v>0.34440815703255928</v>
      </c>
      <c r="Q39">
        <v>0.20005604036095861</v>
      </c>
      <c r="R39">
        <v>0.2</v>
      </c>
      <c r="S39">
        <v>0.2</v>
      </c>
      <c r="T39">
        <v>0.2</v>
      </c>
      <c r="U39">
        <v>0.2</v>
      </c>
      <c r="V39">
        <v>0.2</v>
      </c>
      <c r="X39">
        <v>0.18138506960053949</v>
      </c>
      <c r="Y39">
        <v>0.58072618291580769</v>
      </c>
      <c r="Z39">
        <v>3.8355271176659604</v>
      </c>
      <c r="AA39">
        <v>14.188770391186994</v>
      </c>
      <c r="AB39">
        <v>24.890483106794502</v>
      </c>
      <c r="AC39">
        <v>33.013703935288483</v>
      </c>
      <c r="AD39">
        <v>33.178629650167586</v>
      </c>
      <c r="AE39">
        <v>28.037945781380618</v>
      </c>
      <c r="AF39">
        <v>25.96998086468113</v>
      </c>
      <c r="AG39">
        <v>15.860070745562691</v>
      </c>
      <c r="AH39">
        <v>11.011070567649426</v>
      </c>
      <c r="AI39">
        <v>9.1904364572618888</v>
      </c>
      <c r="AJ39">
        <v>8.7013431850021554</v>
      </c>
      <c r="AK39">
        <v>8.6353064964827748</v>
      </c>
      <c r="AL39">
        <v>5</v>
      </c>
      <c r="AM39">
        <v>5</v>
      </c>
      <c r="AN39">
        <v>5</v>
      </c>
      <c r="AO39">
        <v>5</v>
      </c>
      <c r="AP39">
        <v>5</v>
      </c>
      <c r="AQ39">
        <v>5</v>
      </c>
      <c r="AS39">
        <v>0.28717694936323612</v>
      </c>
      <c r="AT39">
        <v>0.22761348862175823</v>
      </c>
      <c r="AU39">
        <v>0.9892061244682081</v>
      </c>
      <c r="AV39">
        <v>2.8045213575230172E-2</v>
      </c>
      <c r="AW39">
        <v>2.8043801363706461E-2</v>
      </c>
      <c r="AX39">
        <v>2.8043470728188802E-2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N39">
        <v>4.6265896725862912E-2</v>
      </c>
      <c r="BO39">
        <v>4.5912791904400264E-2</v>
      </c>
      <c r="BP39">
        <v>4.5871333849948619E-2</v>
      </c>
      <c r="BQ39">
        <v>2.8045213575230172E-2</v>
      </c>
      <c r="BR39">
        <v>2.8043801363706461E-2</v>
      </c>
      <c r="BS39">
        <v>2.8043470728188802E-2</v>
      </c>
    </row>
    <row r="40" spans="1:80" x14ac:dyDescent="0.25">
      <c r="A40">
        <v>38</v>
      </c>
      <c r="B40">
        <v>182</v>
      </c>
      <c r="C40">
        <v>0.16707777801610479</v>
      </c>
      <c r="D40">
        <v>0.16902375514405782</v>
      </c>
      <c r="E40">
        <v>0.17258930833076166</v>
      </c>
      <c r="F40">
        <v>0.2120352141331151</v>
      </c>
      <c r="G40">
        <v>0.21552172467129374</v>
      </c>
      <c r="H40">
        <v>0.21904803469786874</v>
      </c>
      <c r="I40">
        <v>0.22261058773986164</v>
      </c>
      <c r="J40">
        <v>0.22620613749832755</v>
      </c>
      <c r="K40">
        <v>0.32641389304779067</v>
      </c>
      <c r="L40">
        <v>0.33001937574177259</v>
      </c>
      <c r="M40">
        <v>0.33364698016802735</v>
      </c>
      <c r="N40">
        <v>0.33729520297852017</v>
      </c>
      <c r="O40">
        <v>0.34092886858938126</v>
      </c>
      <c r="P40">
        <v>0.34381679613636523</v>
      </c>
      <c r="Q40">
        <v>0.20017116664806586</v>
      </c>
      <c r="R40">
        <v>0.2</v>
      </c>
      <c r="S40">
        <v>0.2</v>
      </c>
      <c r="T40">
        <v>0.2</v>
      </c>
      <c r="U40">
        <v>0.2</v>
      </c>
      <c r="V40">
        <v>0.2</v>
      </c>
      <c r="X40">
        <v>0.21282622903975718</v>
      </c>
      <c r="Y40">
        <v>0.5793111559875026</v>
      </c>
      <c r="Z40">
        <v>3.762375392308841</v>
      </c>
      <c r="AA40">
        <v>13.606514490094185</v>
      </c>
      <c r="AB40">
        <v>23.500283300659309</v>
      </c>
      <c r="AC40">
        <v>31.182258943260752</v>
      </c>
      <c r="AD40">
        <v>31.522847199441678</v>
      </c>
      <c r="AE40">
        <v>26.882025582371199</v>
      </c>
      <c r="AF40">
        <v>25.351254669663803</v>
      </c>
      <c r="AG40">
        <v>15.622489203612753</v>
      </c>
      <c r="AH40">
        <v>10.927412815797545</v>
      </c>
      <c r="AI40">
        <v>9.1471544185610281</v>
      </c>
      <c r="AJ40">
        <v>8.6734546411743274</v>
      </c>
      <c r="AK40">
        <v>8.6204538696010893</v>
      </c>
      <c r="AL40">
        <v>5</v>
      </c>
      <c r="AM40">
        <v>5</v>
      </c>
      <c r="AN40">
        <v>5</v>
      </c>
      <c r="AO40">
        <v>5</v>
      </c>
      <c r="AP40">
        <v>5</v>
      </c>
      <c r="AQ40">
        <v>5</v>
      </c>
      <c r="AS40">
        <v>0.29922948352092887</v>
      </c>
      <c r="AT40">
        <v>0.24996935598816553</v>
      </c>
      <c r="AU40">
        <v>0.97195144281890056</v>
      </c>
      <c r="AV40">
        <v>2.6283268099951507E-2</v>
      </c>
      <c r="AW40">
        <v>2.6281114521321147E-2</v>
      </c>
      <c r="AX40">
        <v>2.6280610410326644E-2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N40">
        <v>4.3493693596910445E-2</v>
      </c>
      <c r="BO40">
        <v>4.3058151895829469E-2</v>
      </c>
      <c r="BP40">
        <v>4.2994601702537341E-2</v>
      </c>
      <c r="BQ40">
        <v>2.6283268099951507E-2</v>
      </c>
      <c r="BR40">
        <v>2.6281114521321147E-2</v>
      </c>
      <c r="BS40">
        <v>2.6280610410326644E-2</v>
      </c>
    </row>
    <row r="41" spans="1:80" x14ac:dyDescent="0.25">
      <c r="A41">
        <v>39</v>
      </c>
      <c r="B41">
        <v>183</v>
      </c>
      <c r="C41">
        <v>0.16021885305267494</v>
      </c>
      <c r="D41">
        <v>0.16213178885155413</v>
      </c>
      <c r="E41">
        <v>0.16613593375538091</v>
      </c>
      <c r="F41">
        <v>0.2062918081192171</v>
      </c>
      <c r="G41">
        <v>0.21021319437848618</v>
      </c>
      <c r="H41">
        <v>0.21419370268212418</v>
      </c>
      <c r="I41">
        <v>0.21822741199945531</v>
      </c>
      <c r="J41">
        <v>0.22230896407273659</v>
      </c>
      <c r="K41">
        <v>0.32305282873022212</v>
      </c>
      <c r="L41">
        <v>0.32716561917155113</v>
      </c>
      <c r="M41">
        <v>0.33130874468023735</v>
      </c>
      <c r="N41">
        <v>0.33547987726060863</v>
      </c>
      <c r="O41">
        <v>0.33964315166033632</v>
      </c>
      <c r="P41">
        <v>0.34306732527024925</v>
      </c>
      <c r="Q41">
        <v>0.2003559587643591</v>
      </c>
      <c r="R41">
        <v>0.2</v>
      </c>
      <c r="S41">
        <v>0.2</v>
      </c>
      <c r="T41">
        <v>0.2</v>
      </c>
      <c r="U41">
        <v>0.2</v>
      </c>
      <c r="V41">
        <v>0.2</v>
      </c>
      <c r="X41">
        <v>0.24202312092016989</v>
      </c>
      <c r="Y41">
        <v>0.57534682784280622</v>
      </c>
      <c r="Z41">
        <v>3.6700705407844656</v>
      </c>
      <c r="AA41">
        <v>13.035723214745493</v>
      </c>
      <c r="AB41">
        <v>22.147719758133967</v>
      </c>
      <c r="AC41">
        <v>29.387154411150821</v>
      </c>
      <c r="AD41">
        <v>29.884895092669254</v>
      </c>
      <c r="AE41">
        <v>25.723607472592768</v>
      </c>
      <c r="AF41">
        <v>24.715260504483535</v>
      </c>
      <c r="AG41">
        <v>15.372931084306552</v>
      </c>
      <c r="AH41">
        <v>10.83610916070807</v>
      </c>
      <c r="AI41">
        <v>9.0976579635208257</v>
      </c>
      <c r="AJ41">
        <v>8.6406213353621926</v>
      </c>
      <c r="AK41">
        <v>8.6016214756303899</v>
      </c>
      <c r="AL41">
        <v>5</v>
      </c>
      <c r="AM41">
        <v>5</v>
      </c>
      <c r="AN41">
        <v>5</v>
      </c>
      <c r="AO41">
        <v>5</v>
      </c>
      <c r="AP41">
        <v>5</v>
      </c>
      <c r="AQ41">
        <v>5</v>
      </c>
      <c r="AS41">
        <v>0.31176376437916059</v>
      </c>
      <c r="AT41">
        <v>0.27032784179385377</v>
      </c>
      <c r="AU41">
        <v>0.95899579805797219</v>
      </c>
      <c r="AV41">
        <v>2.498318266520928E-2</v>
      </c>
      <c r="AW41">
        <v>2.4978596852522929E-2</v>
      </c>
      <c r="AX41">
        <v>2.4977523178453417E-2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N41">
        <v>4.1731172738644413E-2</v>
      </c>
      <c r="BO41">
        <v>4.1019760007196586E-2</v>
      </c>
      <c r="BP41">
        <v>4.0884995246432292E-2</v>
      </c>
      <c r="BQ41">
        <v>2.498318266520928E-2</v>
      </c>
      <c r="BR41">
        <v>2.4978596852522929E-2</v>
      </c>
      <c r="BS41">
        <v>2.4977523178453417E-2</v>
      </c>
    </row>
    <row r="42" spans="1:80" x14ac:dyDescent="0.25">
      <c r="A42">
        <v>40</v>
      </c>
      <c r="B42">
        <v>184</v>
      </c>
      <c r="C42">
        <v>0.154122987512534</v>
      </c>
      <c r="D42">
        <v>0.15497777748197919</v>
      </c>
      <c r="E42">
        <v>0.15940045690535196</v>
      </c>
      <c r="F42">
        <v>0.20029440558429493</v>
      </c>
      <c r="G42">
        <v>0.20463995980050254</v>
      </c>
      <c r="H42">
        <v>0.20907150773966651</v>
      </c>
      <c r="I42">
        <v>0.21357949598247208</v>
      </c>
      <c r="J42">
        <v>0.21815534765104233</v>
      </c>
      <c r="K42">
        <v>0.31944443018882251</v>
      </c>
      <c r="L42">
        <v>0.32408246884828568</v>
      </c>
      <c r="M42">
        <v>0.32876104137640555</v>
      </c>
      <c r="N42">
        <v>0.33347666390677971</v>
      </c>
      <c r="O42">
        <v>0.33819249948031371</v>
      </c>
      <c r="P42">
        <v>0.34217708946010356</v>
      </c>
      <c r="Q42">
        <v>0.20060806373373899</v>
      </c>
      <c r="R42">
        <v>0.2000010980534371</v>
      </c>
      <c r="S42">
        <v>0.2</v>
      </c>
      <c r="T42">
        <v>0.2</v>
      </c>
      <c r="U42">
        <v>0.2</v>
      </c>
      <c r="V42">
        <v>0.2</v>
      </c>
      <c r="X42">
        <v>0.27693678415976303</v>
      </c>
      <c r="Y42">
        <v>0.57546724451118592</v>
      </c>
      <c r="Z42">
        <v>3.5776540070194836</v>
      </c>
      <c r="AA42">
        <v>12.489107467506289</v>
      </c>
      <c r="AB42">
        <v>20.856606699141299</v>
      </c>
      <c r="AC42">
        <v>27.658606259630368</v>
      </c>
      <c r="AD42">
        <v>28.291670131708159</v>
      </c>
      <c r="AE42">
        <v>24.582307488283679</v>
      </c>
      <c r="AF42">
        <v>24.072652824722777</v>
      </c>
      <c r="AG42">
        <v>15.116061409075108</v>
      </c>
      <c r="AH42">
        <v>10.739192011929164</v>
      </c>
      <c r="AI42">
        <v>9.0430078128698419</v>
      </c>
      <c r="AJ42">
        <v>8.6035580172928849</v>
      </c>
      <c r="AK42">
        <v>8.5792427959969686</v>
      </c>
      <c r="AL42">
        <v>5</v>
      </c>
      <c r="AM42">
        <v>5</v>
      </c>
      <c r="AN42">
        <v>5</v>
      </c>
      <c r="AO42">
        <v>5</v>
      </c>
      <c r="AP42">
        <v>5</v>
      </c>
      <c r="AQ42">
        <v>5</v>
      </c>
      <c r="AS42">
        <v>0.32735450097958452</v>
      </c>
      <c r="AT42">
        <v>0.2939115762591899</v>
      </c>
      <c r="AU42">
        <v>0.94658133712601977</v>
      </c>
      <c r="AV42">
        <v>3.0726672109899864E-2</v>
      </c>
      <c r="AW42">
        <v>3.0726111486378903E-2</v>
      </c>
      <c r="AX42">
        <v>3.0725979731648877E-2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N42">
        <v>5.0504399840017165E-2</v>
      </c>
      <c r="BO42">
        <v>5.0263041154673387E-2</v>
      </c>
      <c r="BP42">
        <v>5.0248078759579602E-2</v>
      </c>
      <c r="BQ42">
        <v>3.0726672109899864E-2</v>
      </c>
      <c r="BR42">
        <v>3.0726111486378903E-2</v>
      </c>
      <c r="BS42">
        <v>3.0725979731648877E-2</v>
      </c>
    </row>
    <row r="43" spans="1:80" x14ac:dyDescent="0.25">
      <c r="A43">
        <v>41</v>
      </c>
      <c r="B43">
        <v>185</v>
      </c>
      <c r="C43">
        <v>0.1483226441024362</v>
      </c>
      <c r="D43">
        <v>0.14726357768288634</v>
      </c>
      <c r="E43">
        <v>0.15209303509374014</v>
      </c>
      <c r="F43">
        <v>0.19377309465213727</v>
      </c>
      <c r="G43">
        <v>0.19854748070757175</v>
      </c>
      <c r="H43">
        <v>0.20344514387471443</v>
      </c>
      <c r="I43">
        <v>0.20845106298375662</v>
      </c>
      <c r="J43">
        <v>0.21355183466135422</v>
      </c>
      <c r="K43">
        <v>0.3154172372386938</v>
      </c>
      <c r="L43">
        <v>0.32062389439879974</v>
      </c>
      <c r="M43">
        <v>0.32588371148911266</v>
      </c>
      <c r="N43">
        <v>0.33119160695952549</v>
      </c>
      <c r="O43">
        <v>0.33650940005409552</v>
      </c>
      <c r="P43">
        <v>0.34110518110893223</v>
      </c>
      <c r="Q43">
        <v>0.20089305880626152</v>
      </c>
      <c r="R43">
        <v>0.20001155214387042</v>
      </c>
      <c r="S43">
        <v>0.2</v>
      </c>
      <c r="T43">
        <v>0.2</v>
      </c>
      <c r="U43">
        <v>0.2</v>
      </c>
      <c r="V43">
        <v>0.2</v>
      </c>
      <c r="X43">
        <v>0.31654014469335162</v>
      </c>
      <c r="Y43">
        <v>0.57738522184087959</v>
      </c>
      <c r="Z43">
        <v>3.4743219396921567</v>
      </c>
      <c r="AA43">
        <v>11.959199824468181</v>
      </c>
      <c r="AB43">
        <v>19.624160116887612</v>
      </c>
      <c r="AC43">
        <v>25.999346477505643</v>
      </c>
      <c r="AD43">
        <v>26.741731446161911</v>
      </c>
      <c r="AE43">
        <v>23.456728158767248</v>
      </c>
      <c r="AF43">
        <v>23.422780429301582</v>
      </c>
      <c r="AG43">
        <v>14.849089098899814</v>
      </c>
      <c r="AH43">
        <v>10.633328616655458</v>
      </c>
      <c r="AI43">
        <v>8.9806155680404078</v>
      </c>
      <c r="AJ43">
        <v>8.5605261032957927</v>
      </c>
      <c r="AK43">
        <v>8.552282894743465</v>
      </c>
      <c r="AL43">
        <v>5</v>
      </c>
      <c r="AM43">
        <v>5</v>
      </c>
      <c r="AN43">
        <v>5</v>
      </c>
      <c r="AO43">
        <v>5</v>
      </c>
      <c r="AP43">
        <v>5</v>
      </c>
      <c r="AQ43">
        <v>5</v>
      </c>
      <c r="AS43">
        <v>0.34561467298156745</v>
      </c>
      <c r="AT43">
        <v>0.31994964898446221</v>
      </c>
      <c r="AU43">
        <v>0.93642868865484863</v>
      </c>
      <c r="AV43">
        <v>3.5737905901294373E-2</v>
      </c>
      <c r="AW43">
        <v>3.574236505793206E-2</v>
      </c>
      <c r="AX43">
        <v>3.5743407114134346E-2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N43">
        <v>5.7863532535571444E-2</v>
      </c>
      <c r="BO43">
        <v>5.8101109490858095E-2</v>
      </c>
      <c r="BP43">
        <v>5.8406304123495824E-2</v>
      </c>
      <c r="BQ43">
        <v>3.5737905901294373E-2</v>
      </c>
      <c r="BR43">
        <v>3.574236505793206E-2</v>
      </c>
      <c r="BS43">
        <v>3.5743407114134346E-2</v>
      </c>
    </row>
    <row r="44" spans="1:80" x14ac:dyDescent="0.25">
      <c r="A44">
        <v>42</v>
      </c>
      <c r="B44">
        <v>186</v>
      </c>
      <c r="C44">
        <v>0.14175389487359943</v>
      </c>
      <c r="D44">
        <v>0.13939679658367218</v>
      </c>
      <c r="E44">
        <v>0.14456743257046234</v>
      </c>
      <c r="F44">
        <v>0.18704656896234118</v>
      </c>
      <c r="G44">
        <v>0.19221379249067036</v>
      </c>
      <c r="H44">
        <v>0.19755683632283524</v>
      </c>
      <c r="I44">
        <v>0.20305241019168702</v>
      </c>
      <c r="J44">
        <v>0.20867980910846867</v>
      </c>
      <c r="K44">
        <v>0.31112341422969864</v>
      </c>
      <c r="L44">
        <v>0.3169182659323509</v>
      </c>
      <c r="M44">
        <v>0.32278204292765389</v>
      </c>
      <c r="N44">
        <v>0.32870744391849965</v>
      </c>
      <c r="O44">
        <v>0.33465442798291511</v>
      </c>
      <c r="P44">
        <v>0.33989027974738284</v>
      </c>
      <c r="Q44">
        <v>0.20120122473735749</v>
      </c>
      <c r="R44">
        <v>0.20003607839176407</v>
      </c>
      <c r="S44">
        <v>0.2</v>
      </c>
      <c r="T44">
        <v>0.2</v>
      </c>
      <c r="U44">
        <v>0.2</v>
      </c>
      <c r="V44">
        <v>0.2</v>
      </c>
      <c r="X44">
        <v>0.361820288818758</v>
      </c>
      <c r="Y44">
        <v>0.58280876918531421</v>
      </c>
      <c r="Z44">
        <v>3.3698469640335449</v>
      </c>
      <c r="AA44">
        <v>11.460237433703535</v>
      </c>
      <c r="AB44">
        <v>18.462136337493355</v>
      </c>
      <c r="AC44">
        <v>24.418485563103328</v>
      </c>
      <c r="AD44">
        <v>25.24351723697939</v>
      </c>
      <c r="AE44">
        <v>22.354274207230404</v>
      </c>
      <c r="AF44">
        <v>22.769939556369795</v>
      </c>
      <c r="AG44">
        <v>14.576012286201786</v>
      </c>
      <c r="AH44">
        <v>10.52188582605095</v>
      </c>
      <c r="AI44">
        <v>8.9127457534300696</v>
      </c>
      <c r="AJ44">
        <v>8.5130755527922908</v>
      </c>
      <c r="AK44">
        <v>8.5217136765213315</v>
      </c>
      <c r="AL44">
        <v>5</v>
      </c>
      <c r="AM44">
        <v>5</v>
      </c>
      <c r="AN44">
        <v>5</v>
      </c>
      <c r="AO44">
        <v>5</v>
      </c>
      <c r="AP44">
        <v>5</v>
      </c>
      <c r="AQ44">
        <v>5</v>
      </c>
      <c r="AS44">
        <v>0.35562894135504963</v>
      </c>
      <c r="AT44">
        <v>0.33572525599662156</v>
      </c>
      <c r="AU44">
        <v>0.91666189575097579</v>
      </c>
      <c r="AV44">
        <v>4.2170548779681218E-2</v>
      </c>
      <c r="AW44">
        <v>4.3451342861516647E-2</v>
      </c>
      <c r="AX44">
        <v>4.3453618144897212E-2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N44">
        <v>5.5294412498888647E-2</v>
      </c>
      <c r="BO44">
        <v>5.3783569934731046E-2</v>
      </c>
      <c r="BP44">
        <v>5.6617540419729412E-2</v>
      </c>
      <c r="BQ44">
        <v>4.2170548779681218E-2</v>
      </c>
      <c r="BR44">
        <v>4.3451342861516647E-2</v>
      </c>
      <c r="BS44">
        <v>4.3453618144897212E-2</v>
      </c>
    </row>
    <row r="45" spans="1:80" x14ac:dyDescent="0.25">
      <c r="A45">
        <v>43</v>
      </c>
      <c r="B45">
        <v>187</v>
      </c>
      <c r="C45">
        <v>0.13603653186066927</v>
      </c>
      <c r="D45">
        <v>0.13210754713429815</v>
      </c>
      <c r="E45">
        <v>0.13746903033805397</v>
      </c>
      <c r="F45">
        <v>0.1806940552050221</v>
      </c>
      <c r="G45">
        <v>0.18615345744336548</v>
      </c>
      <c r="H45">
        <v>0.19186236128161679</v>
      </c>
      <c r="I45">
        <v>0.1977853503045589</v>
      </c>
      <c r="J45">
        <v>0.20389088380306233</v>
      </c>
      <c r="K45">
        <v>0.30686400354912902</v>
      </c>
      <c r="L45">
        <v>0.31322276543234528</v>
      </c>
      <c r="M45">
        <v>0.31967013921478887</v>
      </c>
      <c r="N45">
        <v>0.32619576600424832</v>
      </c>
      <c r="O45">
        <v>0.33275705943420852</v>
      </c>
      <c r="P45">
        <v>0.33862000973694767</v>
      </c>
      <c r="Q45">
        <v>0.20155029364570498</v>
      </c>
      <c r="R45">
        <v>0.20007906779721657</v>
      </c>
      <c r="S45">
        <v>0.2</v>
      </c>
      <c r="T45">
        <v>0.2</v>
      </c>
      <c r="U45">
        <v>0.2</v>
      </c>
      <c r="V45">
        <v>0.2</v>
      </c>
      <c r="X45">
        <v>0.39673356020750489</v>
      </c>
      <c r="Y45">
        <v>0.57997323802860312</v>
      </c>
      <c r="Z45">
        <v>3.2517594641453824</v>
      </c>
      <c r="AA45">
        <v>11.015293880120925</v>
      </c>
      <c r="AB45">
        <v>17.344624229168254</v>
      </c>
      <c r="AC45">
        <v>22.852175383372039</v>
      </c>
      <c r="AD45">
        <v>23.730081833033065</v>
      </c>
      <c r="AE45">
        <v>21.228849752785852</v>
      </c>
      <c r="AF45">
        <v>22.083984485626207</v>
      </c>
      <c r="AG45">
        <v>14.293089517560611</v>
      </c>
      <c r="AH45">
        <v>10.410757164684185</v>
      </c>
      <c r="AI45">
        <v>8.8441184167284153</v>
      </c>
      <c r="AJ45">
        <v>8.4645343082155549</v>
      </c>
      <c r="AK45">
        <v>8.4897460520173649</v>
      </c>
      <c r="AL45">
        <v>5</v>
      </c>
      <c r="AM45">
        <v>5</v>
      </c>
      <c r="AN45">
        <v>5</v>
      </c>
      <c r="AO45">
        <v>5</v>
      </c>
      <c r="AP45">
        <v>5</v>
      </c>
      <c r="AQ45">
        <v>5</v>
      </c>
      <c r="AS45">
        <v>0.37285889622469426</v>
      </c>
      <c r="AT45">
        <v>0.35618726033696663</v>
      </c>
      <c r="AU45">
        <v>0.91346450970416748</v>
      </c>
      <c r="AV45">
        <v>3.3953462294895792E-2</v>
      </c>
      <c r="AW45">
        <v>3.3954669127327856E-2</v>
      </c>
      <c r="AX45">
        <v>3.3954978685081696E-2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N45">
        <v>5.2143226258391517E-2</v>
      </c>
      <c r="BO45">
        <v>4.9783897888187045E-2</v>
      </c>
      <c r="BP45">
        <v>5.2721791449358513E-2</v>
      </c>
      <c r="BQ45">
        <v>3.3953462294895792E-2</v>
      </c>
      <c r="BR45">
        <v>3.3954669127327856E-2</v>
      </c>
      <c r="BS45">
        <v>3.3954978685081696E-2</v>
      </c>
    </row>
    <row r="46" spans="1:80" x14ac:dyDescent="0.25">
      <c r="A46">
        <v>44</v>
      </c>
      <c r="B46">
        <v>188</v>
      </c>
      <c r="C46">
        <v>0.13198222006026808</v>
      </c>
      <c r="D46">
        <v>0.12574227825870476</v>
      </c>
      <c r="E46">
        <v>0.13109054990597402</v>
      </c>
      <c r="F46">
        <v>0.17495967431004197</v>
      </c>
      <c r="G46">
        <v>0.18057756853316878</v>
      </c>
      <c r="H46">
        <v>0.18654402033792181</v>
      </c>
      <c r="I46">
        <v>0.19280743886493626</v>
      </c>
      <c r="J46">
        <v>0.19932125746716892</v>
      </c>
      <c r="K46">
        <v>0.30275328711832838</v>
      </c>
      <c r="L46">
        <v>0.3096363083232187</v>
      </c>
      <c r="M46">
        <v>0.31663217673488298</v>
      </c>
      <c r="N46">
        <v>0.32372644528035405</v>
      </c>
      <c r="O46">
        <v>0.3308731482897897</v>
      </c>
      <c r="P46">
        <v>0.33733637795524607</v>
      </c>
      <c r="Q46">
        <v>0.20194655658366095</v>
      </c>
      <c r="R46">
        <v>0.20014405327133394</v>
      </c>
      <c r="S46">
        <v>0.2</v>
      </c>
      <c r="T46">
        <v>0.2</v>
      </c>
      <c r="U46">
        <v>0.2</v>
      </c>
      <c r="V46">
        <v>0.2</v>
      </c>
      <c r="X46">
        <v>0.42814994891169911</v>
      </c>
      <c r="Y46">
        <v>0.57674423257750373</v>
      </c>
      <c r="Z46">
        <v>3.141483902800648</v>
      </c>
      <c r="AA46">
        <v>10.633353532442072</v>
      </c>
      <c r="AB46">
        <v>16.329492624991492</v>
      </c>
      <c r="AC46">
        <v>21.388568952585249</v>
      </c>
      <c r="AD46">
        <v>22.296982342000891</v>
      </c>
      <c r="AE46">
        <v>20.14731359754645</v>
      </c>
      <c r="AF46">
        <v>21.401329449657691</v>
      </c>
      <c r="AG46">
        <v>14.013385187184328</v>
      </c>
      <c r="AH46">
        <v>10.303762683609468</v>
      </c>
      <c r="AI46">
        <v>8.776657246319278</v>
      </c>
      <c r="AJ46">
        <v>8.4163393108336688</v>
      </c>
      <c r="AK46">
        <v>8.4574408855333907</v>
      </c>
      <c r="AL46">
        <v>5</v>
      </c>
      <c r="AM46">
        <v>5</v>
      </c>
      <c r="AN46">
        <v>5</v>
      </c>
      <c r="AO46">
        <v>5</v>
      </c>
      <c r="AP46">
        <v>5</v>
      </c>
      <c r="AQ46">
        <v>5</v>
      </c>
      <c r="AS46">
        <v>0.39135028891534529</v>
      </c>
      <c r="AT46">
        <v>0.37634878602346211</v>
      </c>
      <c r="AU46">
        <v>0.91474074388835502</v>
      </c>
      <c r="AV46">
        <v>3.0564619568038701E-2</v>
      </c>
      <c r="AW46">
        <v>3.0563725476144235E-2</v>
      </c>
      <c r="AX46">
        <v>3.0563540254493905E-2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N46">
        <v>4.990778139484521E-2</v>
      </c>
      <c r="BO46">
        <v>4.6291663809248276E-2</v>
      </c>
      <c r="BP46">
        <v>4.922172025102476E-2</v>
      </c>
      <c r="BQ46">
        <v>3.0564619568038701E-2</v>
      </c>
      <c r="BR46">
        <v>3.0563725476144235E-2</v>
      </c>
      <c r="BS46">
        <v>3.0563540254493905E-2</v>
      </c>
    </row>
    <row r="47" spans="1:80" x14ac:dyDescent="0.25">
      <c r="A47">
        <v>45</v>
      </c>
      <c r="B47">
        <v>189</v>
      </c>
      <c r="C47">
        <v>0.21431242743356874</v>
      </c>
      <c r="D47">
        <v>0.21431242743356874</v>
      </c>
      <c r="E47">
        <v>0.21431242743356874</v>
      </c>
      <c r="F47">
        <v>0.24908731015293847</v>
      </c>
      <c r="G47">
        <v>0.24908731015293847</v>
      </c>
      <c r="H47">
        <v>0.24908731015293847</v>
      </c>
      <c r="I47">
        <v>0.24908731015293847</v>
      </c>
      <c r="J47">
        <v>0.24908731015293847</v>
      </c>
      <c r="K47">
        <v>0.34539840187492837</v>
      </c>
      <c r="L47">
        <v>0.34539840187492837</v>
      </c>
      <c r="M47">
        <v>0.34539840187492837</v>
      </c>
      <c r="N47">
        <v>0.34539840187492837</v>
      </c>
      <c r="O47">
        <v>0.34539840187492837</v>
      </c>
      <c r="P47">
        <v>0.34539840187492837</v>
      </c>
      <c r="Q47">
        <v>0.34539840187492837</v>
      </c>
      <c r="R47">
        <v>0.34539840187492837</v>
      </c>
      <c r="S47">
        <v>0.34539840187492837</v>
      </c>
      <c r="T47">
        <v>0.26600000000000018</v>
      </c>
      <c r="U47">
        <v>0.2</v>
      </c>
      <c r="V47">
        <v>0.2</v>
      </c>
      <c r="X47">
        <v>1.1041613472696555E-3</v>
      </c>
      <c r="Y47">
        <v>9.7916618271666703E-3</v>
      </c>
      <c r="Z47">
        <v>5.7519147325973949E-2</v>
      </c>
      <c r="AA47">
        <v>0.47431484412864194</v>
      </c>
      <c r="AB47">
        <v>1.8569550670785171</v>
      </c>
      <c r="AC47">
        <v>4.9319586176514276</v>
      </c>
      <c r="AD47">
        <v>9.7970460418106118</v>
      </c>
      <c r="AE47">
        <v>15.37221934567342</v>
      </c>
      <c r="AF47">
        <v>27.709357515817256</v>
      </c>
      <c r="AG47">
        <v>27.224592216886695</v>
      </c>
      <c r="AH47">
        <v>22.180900576369961</v>
      </c>
      <c r="AI47">
        <v>16.428404019984022</v>
      </c>
      <c r="AJ47">
        <v>12.272080229499945</v>
      </c>
      <c r="AK47">
        <v>10.032716975897538</v>
      </c>
      <c r="AL47">
        <v>9.0602720747901628</v>
      </c>
      <c r="AM47">
        <v>8.7239477866711574</v>
      </c>
      <c r="AN47">
        <v>8.6450429291850526</v>
      </c>
      <c r="AO47">
        <v>6.6504407581605696</v>
      </c>
      <c r="AP47">
        <v>5</v>
      </c>
      <c r="AQ47">
        <v>5</v>
      </c>
      <c r="AS47">
        <v>0.40695751372523603</v>
      </c>
      <c r="AT47">
        <v>0.39337068263595715</v>
      </c>
      <c r="AU47">
        <v>0.91354925415352428</v>
      </c>
      <c r="AV47">
        <v>3.2146277674197039E-2</v>
      </c>
      <c r="AW47">
        <v>3.2146360382097935E-2</v>
      </c>
      <c r="AX47">
        <v>3.2146405697011202E-2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N47">
        <v>4.9124857836007695E-2</v>
      </c>
      <c r="BO47">
        <v>4.4915268605921994E-2</v>
      </c>
      <c r="BP47">
        <v>4.7603821922301837E-2</v>
      </c>
      <c r="BQ47">
        <v>3.2146277674197039E-2</v>
      </c>
      <c r="BR47">
        <v>3.2146360382097935E-2</v>
      </c>
      <c r="BS47">
        <v>3.2146405697011202E-2</v>
      </c>
    </row>
    <row r="48" spans="1:80" x14ac:dyDescent="0.25">
      <c r="A48">
        <v>46</v>
      </c>
      <c r="B48">
        <v>190</v>
      </c>
      <c r="C48">
        <v>0.21431242743356874</v>
      </c>
      <c r="D48">
        <v>0.2100998943188512</v>
      </c>
      <c r="E48">
        <v>0.20825697932378007</v>
      </c>
      <c r="F48">
        <v>0.24359485347698254</v>
      </c>
      <c r="G48">
        <v>0.24404334031821268</v>
      </c>
      <c r="H48">
        <v>0.24449182715944281</v>
      </c>
      <c r="I48">
        <v>0.24494031400067295</v>
      </c>
      <c r="J48">
        <v>0.24538880084190307</v>
      </c>
      <c r="K48">
        <v>0.34219895236163883</v>
      </c>
      <c r="L48">
        <v>0.34264046038788226</v>
      </c>
      <c r="M48">
        <v>0.34308196841412569</v>
      </c>
      <c r="N48">
        <v>0.34352347644036912</v>
      </c>
      <c r="O48">
        <v>0.34396498446661256</v>
      </c>
      <c r="P48">
        <v>0.34440649249285599</v>
      </c>
      <c r="Q48">
        <v>0.34484800051909942</v>
      </c>
      <c r="R48">
        <v>0.34527533800734872</v>
      </c>
      <c r="S48">
        <v>0.34539840187492837</v>
      </c>
      <c r="T48">
        <v>0.26600000000000018</v>
      </c>
      <c r="U48">
        <v>0.2</v>
      </c>
      <c r="V48">
        <v>0.2</v>
      </c>
      <c r="X48">
        <v>6.3687414659153826E-2</v>
      </c>
      <c r="Y48">
        <v>7.1035222369252776E-2</v>
      </c>
      <c r="Z48">
        <v>0.18808376968161669</v>
      </c>
      <c r="AA48">
        <v>0.46386306227979662</v>
      </c>
      <c r="AB48">
        <v>1.8185748952181737</v>
      </c>
      <c r="AC48">
        <v>4.8392572287528077</v>
      </c>
      <c r="AD48">
        <v>9.6311757872356729</v>
      </c>
      <c r="AE48">
        <v>14.454927979151773</v>
      </c>
      <c r="AF48">
        <v>26.014878337917239</v>
      </c>
      <c r="AG48">
        <v>25.802805671896998</v>
      </c>
      <c r="AH48">
        <v>21.318340130840657</v>
      </c>
      <c r="AI48">
        <v>16.035557140823823</v>
      </c>
      <c r="AJ48">
        <v>12.139934717865849</v>
      </c>
      <c r="AK48">
        <v>10.003725987177242</v>
      </c>
      <c r="AL48">
        <v>9.0458112513936602</v>
      </c>
      <c r="AM48">
        <v>8.7208383761891142</v>
      </c>
      <c r="AN48">
        <v>8.6450429291850526</v>
      </c>
      <c r="AO48">
        <v>6.6504407581605696</v>
      </c>
      <c r="AP48">
        <v>5</v>
      </c>
      <c r="AQ48">
        <v>5</v>
      </c>
      <c r="AS48">
        <v>0.3892483678779598</v>
      </c>
      <c r="AT48">
        <v>0.3776552244524865</v>
      </c>
      <c r="AU48">
        <v>0.82638127121981553</v>
      </c>
      <c r="AV48">
        <v>5.9457802496973418E-2</v>
      </c>
      <c r="AW48">
        <v>5.9698415154891313E-2</v>
      </c>
      <c r="AX48">
        <v>5.9697942978532287E-2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N48">
        <v>4.5574276081683809E-2</v>
      </c>
      <c r="BO48">
        <v>4.5134810631321243E-2</v>
      </c>
      <c r="BP48">
        <v>4.5069112599460608E-2</v>
      </c>
      <c r="BQ48">
        <v>2.7554360265529629E-2</v>
      </c>
      <c r="BR48">
        <v>2.7552054772793381E-2</v>
      </c>
      <c r="BS48">
        <v>2.7551537281521092E-2</v>
      </c>
    </row>
    <row r="49" spans="1:71" x14ac:dyDescent="0.25">
      <c r="A49">
        <v>47</v>
      </c>
      <c r="B49">
        <v>191</v>
      </c>
      <c r="C49">
        <v>0.21233684878601139</v>
      </c>
      <c r="D49">
        <v>0.20463844602086939</v>
      </c>
      <c r="E49">
        <v>0.20318953389847039</v>
      </c>
      <c r="F49">
        <v>0.23902607304729884</v>
      </c>
      <c r="G49">
        <v>0.23984195919192386</v>
      </c>
      <c r="H49">
        <v>0.24065855868196198</v>
      </c>
      <c r="I49">
        <v>0.24147585853325118</v>
      </c>
      <c r="J49">
        <v>0.24229384600431733</v>
      </c>
      <c r="K49">
        <v>0.33952444547749644</v>
      </c>
      <c r="L49">
        <v>0.34032999894130239</v>
      </c>
      <c r="M49">
        <v>0.34113617068914454</v>
      </c>
      <c r="N49">
        <v>0.34194295206455522</v>
      </c>
      <c r="O49">
        <v>0.34275033453380183</v>
      </c>
      <c r="P49">
        <v>0.34355830968405954</v>
      </c>
      <c r="Q49">
        <v>0.34436686922161247</v>
      </c>
      <c r="R49">
        <v>0.34515508498740133</v>
      </c>
      <c r="S49">
        <v>0.34539840187492837</v>
      </c>
      <c r="T49">
        <v>0.26600000000000018</v>
      </c>
      <c r="U49">
        <v>0.2</v>
      </c>
      <c r="V49">
        <v>0.2</v>
      </c>
      <c r="X49">
        <v>0.10509231892896108</v>
      </c>
      <c r="Y49">
        <v>0.10803224148494622</v>
      </c>
      <c r="Z49">
        <v>0.26337633033501584</v>
      </c>
      <c r="AA49">
        <v>0.45709296966682161</v>
      </c>
      <c r="AB49">
        <v>1.7867183915969773</v>
      </c>
      <c r="AC49">
        <v>4.7621763541269688</v>
      </c>
      <c r="AD49">
        <v>9.4929972553672624</v>
      </c>
      <c r="AE49">
        <v>13.604253834930315</v>
      </c>
      <c r="AF49">
        <v>24.296805127013862</v>
      </c>
      <c r="AG49">
        <v>24.339995247066064</v>
      </c>
      <c r="AH49">
        <v>20.422478099792031</v>
      </c>
      <c r="AI49">
        <v>15.627739262529129</v>
      </c>
      <c r="AJ49">
        <v>12.007017077655165</v>
      </c>
      <c r="AK49">
        <v>9.9790286121842264</v>
      </c>
      <c r="AL49">
        <v>9.0331729191579182</v>
      </c>
      <c r="AM49">
        <v>8.7178000111270784</v>
      </c>
      <c r="AN49">
        <v>8.6450429291850526</v>
      </c>
      <c r="AO49">
        <v>6.6504407581605696</v>
      </c>
      <c r="AP49">
        <v>5</v>
      </c>
      <c r="AQ49">
        <v>5</v>
      </c>
      <c r="AS49">
        <v>0.37977316916429404</v>
      </c>
      <c r="AT49">
        <v>0.3698802118857436</v>
      </c>
      <c r="AU49">
        <v>0.77735134557279328</v>
      </c>
      <c r="AV49">
        <v>7.6268996787929796E-2</v>
      </c>
      <c r="AW49">
        <v>7.8600280937786204E-2</v>
      </c>
      <c r="AX49">
        <v>7.8598517162423803E-2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N49">
        <v>3.1929705556141538E-2</v>
      </c>
      <c r="BO49">
        <v>3.1117814506101155E-2</v>
      </c>
      <c r="BP49">
        <v>3.0953350221681143E-2</v>
      </c>
      <c r="BQ49">
        <v>1.8907450248154795E-2</v>
      </c>
      <c r="BR49">
        <v>1.8901865782894892E-2</v>
      </c>
      <c r="BS49">
        <v>1.8900574183891503E-2</v>
      </c>
    </row>
    <row r="50" spans="1:71" x14ac:dyDescent="0.25">
      <c r="A50">
        <v>48</v>
      </c>
      <c r="B50">
        <v>192</v>
      </c>
      <c r="C50">
        <v>0.21244073035359709</v>
      </c>
      <c r="D50">
        <v>0.19804209784368038</v>
      </c>
      <c r="E50">
        <v>0.1970637579736465</v>
      </c>
      <c r="F50">
        <v>0.2334874553306365</v>
      </c>
      <c r="G50">
        <v>0.2347436107402428</v>
      </c>
      <c r="H50">
        <v>0.23600201116709171</v>
      </c>
      <c r="I50">
        <v>0.23726259504648739</v>
      </c>
      <c r="J50">
        <v>0.23852530256170493</v>
      </c>
      <c r="K50">
        <v>0.33625167899265312</v>
      </c>
      <c r="L50">
        <v>0.33749817629785178</v>
      </c>
      <c r="M50">
        <v>0.33874650095613296</v>
      </c>
      <c r="N50">
        <v>0.33999661493879468</v>
      </c>
      <c r="O50">
        <v>0.34124848101669469</v>
      </c>
      <c r="P50">
        <v>0.34250206274375555</v>
      </c>
      <c r="Q50">
        <v>0.34375732444077084</v>
      </c>
      <c r="R50">
        <v>0.34498896564607567</v>
      </c>
      <c r="S50">
        <v>0.34539840187492837</v>
      </c>
      <c r="T50">
        <v>0.26600000000000018</v>
      </c>
      <c r="U50">
        <v>0.2</v>
      </c>
      <c r="V50">
        <v>0.2</v>
      </c>
      <c r="X50">
        <v>0.15659185139824186</v>
      </c>
      <c r="Y50">
        <v>0.15163975648931008</v>
      </c>
      <c r="Z50">
        <v>0.34776781480150998</v>
      </c>
      <c r="AA50">
        <v>0.45186495964820506</v>
      </c>
      <c r="AB50">
        <v>1.7479130204234528</v>
      </c>
      <c r="AC50">
        <v>4.6682140172912732</v>
      </c>
      <c r="AD50">
        <v>9.324422437629341</v>
      </c>
      <c r="AE50">
        <v>12.759905013981212</v>
      </c>
      <c r="AF50">
        <v>22.461647391278369</v>
      </c>
      <c r="AG50">
        <v>22.752073625102962</v>
      </c>
      <c r="AH50">
        <v>19.433655095241921</v>
      </c>
      <c r="AI50">
        <v>15.16940306750053</v>
      </c>
      <c r="AJ50">
        <v>11.854242093122787</v>
      </c>
      <c r="AK50">
        <v>9.9482541451506918</v>
      </c>
      <c r="AL50">
        <v>9.0171554469010857</v>
      </c>
      <c r="AM50">
        <v>8.7136022096323416</v>
      </c>
      <c r="AN50">
        <v>8.6450429291850526</v>
      </c>
      <c r="AO50">
        <v>6.6504407581605696</v>
      </c>
      <c r="AP50">
        <v>5</v>
      </c>
      <c r="AQ50">
        <v>5</v>
      </c>
      <c r="AS50">
        <v>0.36913003280088402</v>
      </c>
      <c r="AT50">
        <v>0.36292639094743223</v>
      </c>
      <c r="AU50">
        <v>0.72491631787765243</v>
      </c>
      <c r="AV50">
        <v>9.5190633510486081E-2</v>
      </c>
      <c r="AW50">
        <v>0.10313300284913803</v>
      </c>
      <c r="AX50">
        <v>0.10313038630727216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N50">
        <v>4.0856396105870725E-2</v>
      </c>
      <c r="BO50">
        <v>4.0252011226676356E-2</v>
      </c>
      <c r="BP50">
        <v>4.0143575499447776E-2</v>
      </c>
      <c r="BQ50">
        <v>2.4536449999835563E-2</v>
      </c>
      <c r="BR50">
        <v>2.4532721911351831E-2</v>
      </c>
      <c r="BS50">
        <v>2.4531869144848367E-2</v>
      </c>
    </row>
    <row r="51" spans="1:71" x14ac:dyDescent="0.25">
      <c r="A51">
        <v>49</v>
      </c>
      <c r="B51">
        <v>193</v>
      </c>
      <c r="C51">
        <v>0.20983942078950721</v>
      </c>
      <c r="D51">
        <v>0.1908967750098686</v>
      </c>
      <c r="E51">
        <v>0.19042360767337532</v>
      </c>
      <c r="F51">
        <v>0.22748561295470215</v>
      </c>
      <c r="G51">
        <v>0.22921157208956583</v>
      </c>
      <c r="H51">
        <v>0.23094266941633251</v>
      </c>
      <c r="I51">
        <v>0.23267870422708054</v>
      </c>
      <c r="J51">
        <v>0.23441948402453291</v>
      </c>
      <c r="K51">
        <v>0.33267488073088819</v>
      </c>
      <c r="L51">
        <v>0.33439829481068217</v>
      </c>
      <c r="M51">
        <v>0.33612557693166067</v>
      </c>
      <c r="N51">
        <v>0.33785661358687208</v>
      </c>
      <c r="O51">
        <v>0.33959129468461219</v>
      </c>
      <c r="P51">
        <v>0.34132951344912876</v>
      </c>
      <c r="Q51">
        <v>0.34307116632367368</v>
      </c>
      <c r="R51">
        <v>0.34478868064518359</v>
      </c>
      <c r="S51">
        <v>0.34539840187492837</v>
      </c>
      <c r="T51">
        <v>0.26600000000000018</v>
      </c>
      <c r="U51">
        <v>0.2</v>
      </c>
      <c r="V51">
        <v>0.2</v>
      </c>
      <c r="X51">
        <v>0.21401467285220827</v>
      </c>
      <c r="Y51">
        <v>0.19712068069173508</v>
      </c>
      <c r="Z51">
        <v>0.43057331027039242</v>
      </c>
      <c r="AA51">
        <v>0.44965773168928508</v>
      </c>
      <c r="AB51">
        <v>1.7057270073052946</v>
      </c>
      <c r="AC51">
        <v>4.5659458217306526</v>
      </c>
      <c r="AD51">
        <v>9.140726492828108</v>
      </c>
      <c r="AE51">
        <v>11.997917325199786</v>
      </c>
      <c r="AF51">
        <v>20.638424558897746</v>
      </c>
      <c r="AG51">
        <v>21.143672012561783</v>
      </c>
      <c r="AH51">
        <v>18.413392085062501</v>
      </c>
      <c r="AI51">
        <v>14.688179479084594</v>
      </c>
      <c r="AJ51">
        <v>11.691481880265641</v>
      </c>
      <c r="AK51">
        <v>9.9140794901002351</v>
      </c>
      <c r="AL51">
        <v>8.999120721134652</v>
      </c>
      <c r="AM51">
        <v>8.7085405474482354</v>
      </c>
      <c r="AN51">
        <v>8.6450429291850526</v>
      </c>
      <c r="AO51">
        <v>6.6504407581605696</v>
      </c>
      <c r="AP51">
        <v>5</v>
      </c>
      <c r="AQ51">
        <v>5</v>
      </c>
      <c r="AS51">
        <v>0.35897061538538788</v>
      </c>
      <c r="AT51">
        <v>0.3586156270191681</v>
      </c>
      <c r="AU51">
        <v>0.67676842372346724</v>
      </c>
      <c r="AV51">
        <v>0.11408114205181938</v>
      </c>
      <c r="AW51">
        <v>0.13173581502897797</v>
      </c>
      <c r="AX51">
        <v>0.13173270642103954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N51">
        <v>4.7263404038470271E-2</v>
      </c>
      <c r="BO51">
        <v>4.68460812764969E-2</v>
      </c>
      <c r="BP51">
        <v>4.678440947726395E-2</v>
      </c>
      <c r="BQ51">
        <v>2.8605011490101431E-2</v>
      </c>
      <c r="BR51">
        <v>2.8602812179839929E-2</v>
      </c>
      <c r="BS51">
        <v>2.8602320113767381E-2</v>
      </c>
    </row>
    <row r="52" spans="1:71" x14ac:dyDescent="0.25">
      <c r="A52">
        <v>50</v>
      </c>
      <c r="B52">
        <v>194</v>
      </c>
      <c r="C52">
        <v>0.20726636402877119</v>
      </c>
      <c r="D52">
        <v>0.18384052562592917</v>
      </c>
      <c r="E52">
        <v>0.18386138613974351</v>
      </c>
      <c r="F52">
        <v>0.22157139451917934</v>
      </c>
      <c r="G52">
        <v>0.22374984677499898</v>
      </c>
      <c r="H52">
        <v>0.22593840897912065</v>
      </c>
      <c r="I52">
        <v>0.22813655580612976</v>
      </c>
      <c r="J52">
        <v>0.23034379039269712</v>
      </c>
      <c r="K52">
        <v>0.3291161485134993</v>
      </c>
      <c r="L52">
        <v>0.33130861694588648</v>
      </c>
      <c r="M52">
        <v>0.33350805888084889</v>
      </c>
      <c r="N52">
        <v>0.33571420383136613</v>
      </c>
      <c r="O52">
        <v>0.33792679211436871</v>
      </c>
      <c r="P52">
        <v>0.34014557444069654</v>
      </c>
      <c r="Q52">
        <v>0.34237031151669578</v>
      </c>
      <c r="R52">
        <v>0.34457249393151151</v>
      </c>
      <c r="S52">
        <v>0.34539840187492837</v>
      </c>
      <c r="T52">
        <v>0.26600000000000018</v>
      </c>
      <c r="U52">
        <v>0.2</v>
      </c>
      <c r="V52">
        <v>0.2</v>
      </c>
      <c r="X52">
        <v>0.27846871879018342</v>
      </c>
      <c r="Y52">
        <v>0.24586195450767712</v>
      </c>
      <c r="Z52">
        <v>0.51347563616337155</v>
      </c>
      <c r="AA52">
        <v>0.45243610733990286</v>
      </c>
      <c r="AB52">
        <v>1.664090275437907</v>
      </c>
      <c r="AC52">
        <v>4.4648156857020727</v>
      </c>
      <c r="AD52">
        <v>8.9587366479343995</v>
      </c>
      <c r="AE52">
        <v>11.365358358549763</v>
      </c>
      <c r="AF52">
        <v>18.927628815884329</v>
      </c>
      <c r="AG52">
        <v>19.600067390293923</v>
      </c>
      <c r="AH52">
        <v>17.414183821892234</v>
      </c>
      <c r="AI52">
        <v>14.208874001092084</v>
      </c>
      <c r="AJ52">
        <v>11.528215141833423</v>
      </c>
      <c r="AK52">
        <v>9.8795717195366226</v>
      </c>
      <c r="AL52">
        <v>8.9806989222700224</v>
      </c>
      <c r="AM52">
        <v>8.7030767603062262</v>
      </c>
      <c r="AN52">
        <v>8.6450429291850526</v>
      </c>
      <c r="AO52">
        <v>6.6504407581605696</v>
      </c>
      <c r="AP52">
        <v>5</v>
      </c>
      <c r="AQ52">
        <v>5</v>
      </c>
      <c r="AS52">
        <v>0.34955584927738831</v>
      </c>
      <c r="AT52">
        <v>0.35735754109935319</v>
      </c>
      <c r="AU52">
        <v>0.63359417307407906</v>
      </c>
      <c r="AV52">
        <v>0.13300482526129698</v>
      </c>
      <c r="AW52">
        <v>0.16544163277468693</v>
      </c>
      <c r="AX52">
        <v>0.16543888412581129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N52">
        <v>5.5039279829975606E-2</v>
      </c>
      <c r="BO52">
        <v>5.5049162139058617E-2</v>
      </c>
      <c r="BP52">
        <v>5.5095725340147804E-2</v>
      </c>
      <c r="BQ52">
        <v>3.3704393602822943E-2</v>
      </c>
      <c r="BR52">
        <v>3.3705817745708959E-2</v>
      </c>
      <c r="BS52">
        <v>3.3706177704771759E-2</v>
      </c>
    </row>
    <row r="53" spans="1:71" x14ac:dyDescent="0.25">
      <c r="A53">
        <v>51</v>
      </c>
      <c r="B53">
        <v>195</v>
      </c>
      <c r="C53">
        <v>0.20519255871800515</v>
      </c>
      <c r="D53">
        <v>0.17815633245936949</v>
      </c>
      <c r="E53">
        <v>0.17856962597120599</v>
      </c>
      <c r="F53">
        <v>0.21684988670148339</v>
      </c>
      <c r="G53">
        <v>0.2193726203880125</v>
      </c>
      <c r="H53">
        <v>0.22191329506053886</v>
      </c>
      <c r="I53">
        <v>0.22447074940563921</v>
      </c>
      <c r="J53">
        <v>0.22704389895968388</v>
      </c>
      <c r="K53">
        <v>0.3262318557820994</v>
      </c>
      <c r="L53">
        <v>0.32879771302543193</v>
      </c>
      <c r="M53">
        <v>0.33137489145322113</v>
      </c>
      <c r="N53">
        <v>0.33396284439309298</v>
      </c>
      <c r="O53">
        <v>0.33656105215798554</v>
      </c>
      <c r="P53">
        <v>0.33916902081678396</v>
      </c>
      <c r="Q53">
        <v>0.3417862810011062</v>
      </c>
      <c r="R53">
        <v>0.34438397652895297</v>
      </c>
      <c r="S53">
        <v>0.34539840187492837</v>
      </c>
      <c r="T53">
        <v>0.26600000000000018</v>
      </c>
      <c r="U53">
        <v>0.2</v>
      </c>
      <c r="V53">
        <v>0.2</v>
      </c>
      <c r="X53">
        <v>0.34507396232864629</v>
      </c>
      <c r="Y53">
        <v>0.29595340028994055</v>
      </c>
      <c r="Z53">
        <v>0.59307481120473071</v>
      </c>
      <c r="AA53">
        <v>0.46166020432882104</v>
      </c>
      <c r="AB53">
        <v>1.6308860412399897</v>
      </c>
      <c r="AC53">
        <v>4.3838318412887896</v>
      </c>
      <c r="AD53">
        <v>8.8124325337847189</v>
      </c>
      <c r="AE53">
        <v>10.905688186937518</v>
      </c>
      <c r="AF53">
        <v>17.460240722301211</v>
      </c>
      <c r="AG53">
        <v>18.240486268519337</v>
      </c>
      <c r="AH53">
        <v>16.51498824414417</v>
      </c>
      <c r="AI53">
        <v>13.771750690047993</v>
      </c>
      <c r="AJ53">
        <v>11.381013908200792</v>
      </c>
      <c r="AK53">
        <v>9.8511259271049205</v>
      </c>
      <c r="AL53">
        <v>8.9653530686957783</v>
      </c>
      <c r="AM53">
        <v>8.698312655304429</v>
      </c>
      <c r="AN53">
        <v>8.6450429291850526</v>
      </c>
      <c r="AO53">
        <v>6.6504407581605696</v>
      </c>
      <c r="AP53">
        <v>5</v>
      </c>
      <c r="AQ53">
        <v>5</v>
      </c>
      <c r="AS53">
        <v>0.34258806234987044</v>
      </c>
      <c r="AT53">
        <v>0.35925280145903066</v>
      </c>
      <c r="AU53">
        <v>0.59870516879884594</v>
      </c>
      <c r="AV53">
        <v>0.15059656602268884</v>
      </c>
      <c r="AW53">
        <v>0.20211150802887493</v>
      </c>
      <c r="AX53">
        <v>0.2021095076077698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N53">
        <v>5.9637456610944994E-2</v>
      </c>
      <c r="BO53">
        <v>5.9831091028165868E-2</v>
      </c>
      <c r="BP53">
        <v>5.9926587915378075E-2</v>
      </c>
      <c r="BQ53">
        <v>3.6666802628857367E-2</v>
      </c>
      <c r="BR53">
        <v>3.6669875254187988E-2</v>
      </c>
      <c r="BS53">
        <v>3.6670623481958514E-2</v>
      </c>
    </row>
    <row r="54" spans="1:71" x14ac:dyDescent="0.25">
      <c r="A54">
        <v>52</v>
      </c>
      <c r="B54">
        <v>196</v>
      </c>
      <c r="C54">
        <v>0.20231491933953022</v>
      </c>
      <c r="D54">
        <v>0.17032205800408273</v>
      </c>
      <c r="E54">
        <v>0.17126862738055307</v>
      </c>
      <c r="F54">
        <v>0.21028116334564007</v>
      </c>
      <c r="G54">
        <v>0.21328375397201946</v>
      </c>
      <c r="H54">
        <v>0.21631508103620761</v>
      </c>
      <c r="I54">
        <v>0.21937299390875675</v>
      </c>
      <c r="J54">
        <v>0.22245549966637504</v>
      </c>
      <c r="K54">
        <v>0.32220143763453618</v>
      </c>
      <c r="L54">
        <v>0.3252890494550672</v>
      </c>
      <c r="M54">
        <v>0.32839347673528985</v>
      </c>
      <c r="N54">
        <v>0.33151377127151743</v>
      </c>
      <c r="O54">
        <v>0.33464903825049747</v>
      </c>
      <c r="P54">
        <v>0.33779843364387069</v>
      </c>
      <c r="Q54">
        <v>0.34096116165303852</v>
      </c>
      <c r="R54">
        <v>0.34410807119918202</v>
      </c>
      <c r="S54">
        <v>0.34539840187492837</v>
      </c>
      <c r="T54">
        <v>0.26600000000000018</v>
      </c>
      <c r="U54">
        <v>0.2</v>
      </c>
      <c r="V54">
        <v>0.2</v>
      </c>
      <c r="X54">
        <v>0.40855815282860908</v>
      </c>
      <c r="Y54">
        <v>0.33724562573711225</v>
      </c>
      <c r="Z54">
        <v>0.65259769477675322</v>
      </c>
      <c r="AA54">
        <v>0.46867685771382073</v>
      </c>
      <c r="AB54">
        <v>1.591160223546934</v>
      </c>
      <c r="AC54">
        <v>4.2703786840856406</v>
      </c>
      <c r="AD54">
        <v>8.6076505978245788</v>
      </c>
      <c r="AE54">
        <v>10.492781846933616</v>
      </c>
      <c r="AF54">
        <v>16.039128540178556</v>
      </c>
      <c r="AG54">
        <v>16.893838348588989</v>
      </c>
      <c r="AH54">
        <v>15.600493346471863</v>
      </c>
      <c r="AI54">
        <v>13.311908181317111</v>
      </c>
      <c r="AJ54">
        <v>11.216845558440548</v>
      </c>
      <c r="AK54">
        <v>9.8111558577094016</v>
      </c>
      <c r="AL54">
        <v>8.9436570894722944</v>
      </c>
      <c r="AM54">
        <v>8.691338361405279</v>
      </c>
      <c r="AN54">
        <v>8.6450429291850526</v>
      </c>
      <c r="AO54">
        <v>6.6504407581605696</v>
      </c>
      <c r="AP54">
        <v>5</v>
      </c>
      <c r="AQ54">
        <v>5</v>
      </c>
      <c r="AS54">
        <v>0.33937480951034826</v>
      </c>
      <c r="AT54">
        <v>0.36500505386699794</v>
      </c>
      <c r="AU54">
        <v>0.57469597701060782</v>
      </c>
      <c r="AV54">
        <v>0.16636392011182971</v>
      </c>
      <c r="AW54">
        <v>0.23248821617772467</v>
      </c>
      <c r="AX54">
        <v>0.23932033080020426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6.0270937660440671E-2</v>
      </c>
      <c r="BO54">
        <v>6.0657395588854704E-2</v>
      </c>
      <c r="BP54">
        <v>6.0795837305604346E-2</v>
      </c>
      <c r="BQ54">
        <v>3.7205261943108713E-2</v>
      </c>
      <c r="BR54">
        <v>3.720974484524172E-2</v>
      </c>
      <c r="BS54">
        <v>3.7210823192434468E-2</v>
      </c>
    </row>
    <row r="55" spans="1:71" x14ac:dyDescent="0.25">
      <c r="A55">
        <v>53</v>
      </c>
      <c r="B55">
        <v>197</v>
      </c>
      <c r="C55">
        <v>0.19976591072367303</v>
      </c>
      <c r="D55">
        <v>0.1634305436424523</v>
      </c>
      <c r="E55">
        <v>0.16483168706672721</v>
      </c>
      <c r="F55">
        <v>0.20453272036379119</v>
      </c>
      <c r="G55">
        <v>0.20792887039578939</v>
      </c>
      <c r="H55">
        <v>0.21137029309540264</v>
      </c>
      <c r="I55">
        <v>0.21485304902610466</v>
      </c>
      <c r="J55">
        <v>0.21837352712337099</v>
      </c>
      <c r="K55">
        <v>0.31860417756613052</v>
      </c>
      <c r="L55">
        <v>0.3221509386020851</v>
      </c>
      <c r="M55">
        <v>0.32572190104891258</v>
      </c>
      <c r="N55">
        <v>0.32931547125921112</v>
      </c>
      <c r="O55">
        <v>0.33293015999669034</v>
      </c>
      <c r="P55">
        <v>0.33656457658236472</v>
      </c>
      <c r="Q55">
        <v>0.34021742315162651</v>
      </c>
      <c r="R55">
        <v>0.34385909730297393</v>
      </c>
      <c r="S55">
        <v>0.34539840187492837</v>
      </c>
      <c r="T55">
        <v>0.26600000000000018</v>
      </c>
      <c r="U55">
        <v>0.2</v>
      </c>
      <c r="V55">
        <v>0.2</v>
      </c>
      <c r="X55">
        <v>0.45767104980348178</v>
      </c>
      <c r="Y55">
        <v>0.36484559329748656</v>
      </c>
      <c r="Z55">
        <v>0.68879951387897553</v>
      </c>
      <c r="AA55">
        <v>0.47356278616011199</v>
      </c>
      <c r="AB55">
        <v>1.5592812008253141</v>
      </c>
      <c r="AC55">
        <v>4.1704776208354399</v>
      </c>
      <c r="AD55">
        <v>8.4265681954679472</v>
      </c>
      <c r="AE55">
        <v>10.202736639083254</v>
      </c>
      <c r="AF55">
        <v>14.74629439754615</v>
      </c>
      <c r="AG55">
        <v>15.629183211781935</v>
      </c>
      <c r="AH55">
        <v>14.720419717064081</v>
      </c>
      <c r="AI55">
        <v>12.863089746846578</v>
      </c>
      <c r="AJ55">
        <v>11.058980649282693</v>
      </c>
      <c r="AK55">
        <v>9.7751878302375381</v>
      </c>
      <c r="AL55">
        <v>8.9241056448130305</v>
      </c>
      <c r="AM55">
        <v>8.6850453291950664</v>
      </c>
      <c r="AN55">
        <v>8.6450429291850526</v>
      </c>
      <c r="AO55">
        <v>6.6504407581605696</v>
      </c>
      <c r="AP55">
        <v>5</v>
      </c>
      <c r="AQ55">
        <v>5</v>
      </c>
      <c r="AS55">
        <v>0.33983814686659175</v>
      </c>
      <c r="AT55">
        <v>0.37247319969029918</v>
      </c>
      <c r="AU55">
        <v>0.56226960732951847</v>
      </c>
      <c r="AV55">
        <v>0.17843207411784984</v>
      </c>
      <c r="AW55">
        <v>0.25351466182825483</v>
      </c>
      <c r="AX55">
        <v>0.26944537081736641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4.9576234331116159E-2</v>
      </c>
      <c r="BO55">
        <v>4.9289035748401953E-2</v>
      </c>
      <c r="BP55">
        <v>4.9260430403689916E-2</v>
      </c>
      <c r="BQ55">
        <v>3.0126362118313276E-2</v>
      </c>
      <c r="BR55">
        <v>3.0125271421057788E-2</v>
      </c>
      <c r="BS55">
        <v>3.0125040017162132E-2</v>
      </c>
    </row>
    <row r="56" spans="1:71" x14ac:dyDescent="0.25">
      <c r="A56">
        <v>54</v>
      </c>
      <c r="B56">
        <v>198</v>
      </c>
      <c r="C56">
        <v>0.19644646731681456</v>
      </c>
      <c r="D56">
        <v>0.15556314779640754</v>
      </c>
      <c r="E56">
        <v>0.1574682130025791</v>
      </c>
      <c r="F56">
        <v>0.19794190285250751</v>
      </c>
      <c r="G56">
        <v>0.20177551794587753</v>
      </c>
      <c r="H56">
        <v>0.20567768242069187</v>
      </c>
      <c r="I56">
        <v>0.20964167477344411</v>
      </c>
      <c r="J56">
        <v>0.21366137935325213</v>
      </c>
      <c r="K56">
        <v>0.31443572613468668</v>
      </c>
      <c r="L56">
        <v>0.31851286767862486</v>
      </c>
      <c r="M56">
        <v>0.32262357116910167</v>
      </c>
      <c r="N56">
        <v>0.32676531389888364</v>
      </c>
      <c r="O56">
        <v>0.3309357601284374</v>
      </c>
      <c r="P56">
        <v>0.3351327495734237</v>
      </c>
      <c r="Q56">
        <v>0.33935428602721446</v>
      </c>
      <c r="R56">
        <v>0.34357014379885487</v>
      </c>
      <c r="S56">
        <v>0.34539840187492837</v>
      </c>
      <c r="T56">
        <v>0.26600000000000018</v>
      </c>
      <c r="U56">
        <v>0.2</v>
      </c>
      <c r="V56">
        <v>0.2</v>
      </c>
      <c r="X56">
        <v>0.52010547810337804</v>
      </c>
      <c r="Y56">
        <v>0.39875345397999734</v>
      </c>
      <c r="Z56">
        <v>0.73061938009107419</v>
      </c>
      <c r="AA56">
        <v>0.4833333679031469</v>
      </c>
      <c r="AB56">
        <v>1.5286873242524825</v>
      </c>
      <c r="AC56">
        <v>4.0550499033330096</v>
      </c>
      <c r="AD56">
        <v>8.2170964834163858</v>
      </c>
      <c r="AE56">
        <v>9.9777226339855929</v>
      </c>
      <c r="AF56">
        <v>13.579233415185087</v>
      </c>
      <c r="AG56">
        <v>14.449905202664709</v>
      </c>
      <c r="AH56">
        <v>13.873472889526038</v>
      </c>
      <c r="AI56">
        <v>12.417388152544408</v>
      </c>
      <c r="AJ56">
        <v>10.896724208100411</v>
      </c>
      <c r="AK56">
        <v>9.7334241471280212</v>
      </c>
      <c r="AL56">
        <v>8.9014074582824048</v>
      </c>
      <c r="AM56">
        <v>8.6777409276729927</v>
      </c>
      <c r="AN56">
        <v>8.6450429291850526</v>
      </c>
      <c r="AO56">
        <v>6.6504407581605696</v>
      </c>
      <c r="AP56">
        <v>5</v>
      </c>
      <c r="AQ56">
        <v>5</v>
      </c>
      <c r="AS56">
        <v>0.34159623655747479</v>
      </c>
      <c r="AT56">
        <v>0.38268303542042459</v>
      </c>
      <c r="AU56">
        <v>0.5518515556946102</v>
      </c>
      <c r="AV56">
        <v>0.19244993951718806</v>
      </c>
      <c r="AW56">
        <v>0.27611741597977874</v>
      </c>
      <c r="AX56">
        <v>0.30900715711653193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6.4192517990779255E-2</v>
      </c>
      <c r="BO56">
        <v>6.2569268946466597E-2</v>
      </c>
      <c r="BP56">
        <v>6.3611218996878438E-2</v>
      </c>
      <c r="BQ56">
        <v>3.9556537974772744E-2</v>
      </c>
      <c r="BR56">
        <v>3.9560765413635825E-2</v>
      </c>
      <c r="BS56">
        <v>3.956178629916552E-2</v>
      </c>
    </row>
    <row r="57" spans="1:71" x14ac:dyDescent="0.25">
      <c r="A57">
        <v>55</v>
      </c>
      <c r="B57">
        <v>199</v>
      </c>
      <c r="C57">
        <v>0.19373499736700492</v>
      </c>
      <c r="D57">
        <v>0.14841002154392452</v>
      </c>
      <c r="E57">
        <v>0.15073904956282372</v>
      </c>
      <c r="F57">
        <v>0.19195238146705942</v>
      </c>
      <c r="G57">
        <v>0.19613976629062072</v>
      </c>
      <c r="H57">
        <v>0.20042964341666369</v>
      </c>
      <c r="I57">
        <v>0.20481080003434946</v>
      </c>
      <c r="J57">
        <v>0.20927309915207193</v>
      </c>
      <c r="K57">
        <v>0.31053132025539915</v>
      </c>
      <c r="L57">
        <v>0.31509707926403197</v>
      </c>
      <c r="M57">
        <v>0.31970847231638189</v>
      </c>
      <c r="N57">
        <v>0.3243616102956543</v>
      </c>
      <c r="O57">
        <v>0.32905292939766473</v>
      </c>
      <c r="P57">
        <v>0.33377916890158038</v>
      </c>
      <c r="Q57">
        <v>0.33853734909131522</v>
      </c>
      <c r="R57">
        <v>0.34329637661844337</v>
      </c>
      <c r="S57">
        <v>0.34539840187492837</v>
      </c>
      <c r="T57">
        <v>0.26600000000000018</v>
      </c>
      <c r="U57">
        <v>0.2</v>
      </c>
      <c r="V57">
        <v>0.2</v>
      </c>
      <c r="X57">
        <v>0.57204345118052746</v>
      </c>
      <c r="Y57">
        <v>0.42266510588351702</v>
      </c>
      <c r="Z57">
        <v>0.7567041369354035</v>
      </c>
      <c r="AA57">
        <v>0.49081069184178461</v>
      </c>
      <c r="AB57">
        <v>1.5019836644007789</v>
      </c>
      <c r="AC57">
        <v>3.9488726947464921</v>
      </c>
      <c r="AD57">
        <v>8.0232797324258023</v>
      </c>
      <c r="AE57">
        <v>9.7684982144830688</v>
      </c>
      <c r="AF57">
        <v>12.572913697320802</v>
      </c>
      <c r="AG57">
        <v>13.387425149463935</v>
      </c>
      <c r="AH57">
        <v>13.083170000599498</v>
      </c>
      <c r="AI57">
        <v>11.991130185362145</v>
      </c>
      <c r="AJ57">
        <v>10.741929104355391</v>
      </c>
      <c r="AK57">
        <v>9.69395201697753</v>
      </c>
      <c r="AL57">
        <v>8.8799271443563974</v>
      </c>
      <c r="AM57">
        <v>8.6708207245251714</v>
      </c>
      <c r="AN57">
        <v>8.6450429291850526</v>
      </c>
      <c r="AO57">
        <v>6.6504407581605696</v>
      </c>
      <c r="AP57">
        <v>5</v>
      </c>
      <c r="AQ57">
        <v>5</v>
      </c>
      <c r="AS57">
        <v>0.34559560764401004</v>
      </c>
      <c r="AT57">
        <v>0.39553572356645156</v>
      </c>
      <c r="AU57">
        <v>0.54919107157579772</v>
      </c>
      <c r="AV57">
        <v>0.20417765932219453</v>
      </c>
      <c r="AW57">
        <v>0.29318510802444042</v>
      </c>
      <c r="AX57">
        <v>0.34329592922411345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5.5937344163684705E-2</v>
      </c>
      <c r="BO57">
        <v>5.5983620326306022E-2</v>
      </c>
      <c r="BP57">
        <v>5.603995681762431E-2</v>
      </c>
      <c r="BQ57">
        <v>3.4286573450288287E-2</v>
      </c>
      <c r="BR57">
        <v>3.4288333118557834E-2</v>
      </c>
      <c r="BS57">
        <v>3.4288772107581557E-2</v>
      </c>
    </row>
    <row r="58" spans="1:71" x14ac:dyDescent="0.25">
      <c r="A58">
        <v>56</v>
      </c>
      <c r="B58">
        <v>200</v>
      </c>
      <c r="C58">
        <v>0.19086985383715288</v>
      </c>
      <c r="D58">
        <v>0.14098550280894973</v>
      </c>
      <c r="E58">
        <v>0.14371606993899341</v>
      </c>
      <c r="F58">
        <v>0.18569406370760291</v>
      </c>
      <c r="G58">
        <v>0.19021482143286012</v>
      </c>
      <c r="H58">
        <v>0.19488472252910186</v>
      </c>
      <c r="I58">
        <v>0.19968606636552833</v>
      </c>
      <c r="J58">
        <v>0.20460285138998879</v>
      </c>
      <c r="K58">
        <v>0.30635301428943484</v>
      </c>
      <c r="L58">
        <v>0.31143688026554728</v>
      </c>
      <c r="M58">
        <v>0.316581432675895</v>
      </c>
      <c r="N58">
        <v>0.32178089536119636</v>
      </c>
      <c r="O58">
        <v>0.32703002691799948</v>
      </c>
      <c r="P58">
        <v>0.33232408151095916</v>
      </c>
      <c r="Q58">
        <v>0.33765876944478762</v>
      </c>
      <c r="R58">
        <v>0.3430018548422466</v>
      </c>
      <c r="S58">
        <v>0.34539840187492837</v>
      </c>
      <c r="T58">
        <v>0.26600000000000018</v>
      </c>
      <c r="U58">
        <v>0.2</v>
      </c>
      <c r="V58">
        <v>0.2</v>
      </c>
      <c r="X58">
        <v>0.62693629846207999</v>
      </c>
      <c r="Y58">
        <v>0.44471930563221135</v>
      </c>
      <c r="Z58">
        <v>0.77852205037064071</v>
      </c>
      <c r="AA58">
        <v>0.49958129273294871</v>
      </c>
      <c r="AB58">
        <v>1.4765168643827478</v>
      </c>
      <c r="AC58">
        <v>3.8365181376356716</v>
      </c>
      <c r="AD58">
        <v>7.8173706646200039</v>
      </c>
      <c r="AE58">
        <v>9.5455232822415574</v>
      </c>
      <c r="AF58">
        <v>11.747011973463364</v>
      </c>
      <c r="AG58">
        <v>12.473031512065779</v>
      </c>
      <c r="AH58">
        <v>12.373168708367528</v>
      </c>
      <c r="AI58">
        <v>11.593019283222167</v>
      </c>
      <c r="AJ58">
        <v>10.592623669855227</v>
      </c>
      <c r="AK58">
        <v>9.6515068613900752</v>
      </c>
      <c r="AL58">
        <v>8.8568217967165062</v>
      </c>
      <c r="AM58">
        <v>8.6633754425687641</v>
      </c>
      <c r="AN58">
        <v>8.6450429291850526</v>
      </c>
      <c r="AO58">
        <v>6.6504407581605696</v>
      </c>
      <c r="AP58">
        <v>5</v>
      </c>
      <c r="AQ58">
        <v>5</v>
      </c>
      <c r="AS58">
        <v>0.35102950192534249</v>
      </c>
      <c r="AT58">
        <v>0.40580077684269733</v>
      </c>
      <c r="AU58">
        <v>0.54646611433253689</v>
      </c>
      <c r="AV58">
        <v>0.21625803923168524</v>
      </c>
      <c r="AW58">
        <v>0.30926534066905575</v>
      </c>
      <c r="AX58">
        <v>0.38069560026985944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6.0326741562884957E-2</v>
      </c>
      <c r="BO58">
        <v>5.4577463512756767E-2</v>
      </c>
      <c r="BP58">
        <v>5.6070851128995909E-2</v>
      </c>
      <c r="BQ58">
        <v>3.7392431873217162E-2</v>
      </c>
      <c r="BR58">
        <v>3.7398274742438439E-2</v>
      </c>
      <c r="BS58">
        <v>3.7399671045745958E-2</v>
      </c>
    </row>
    <row r="59" spans="1:71" x14ac:dyDescent="0.25">
      <c r="A59">
        <v>57</v>
      </c>
      <c r="B59">
        <v>201</v>
      </c>
      <c r="C59">
        <v>0.18812363274185401</v>
      </c>
      <c r="D59">
        <v>0.1340970398349336</v>
      </c>
      <c r="E59">
        <v>0.13712971730671644</v>
      </c>
      <c r="F59">
        <v>0.17982791424561692</v>
      </c>
      <c r="G59">
        <v>0.18459376570381661</v>
      </c>
      <c r="H59">
        <v>0.18957289443276265</v>
      </c>
      <c r="I59">
        <v>0.1947384279355267</v>
      </c>
      <c r="J59">
        <v>0.20006590337878474</v>
      </c>
      <c r="K59">
        <v>0.30225925791483033</v>
      </c>
      <c r="L59">
        <v>0.30784130987763436</v>
      </c>
      <c r="M59">
        <v>0.31350286520500603</v>
      </c>
      <c r="N59">
        <v>0.31923554712888774</v>
      </c>
      <c r="O59">
        <v>0.32503182940212871</v>
      </c>
      <c r="P59">
        <v>0.33088497021132873</v>
      </c>
      <c r="Q59">
        <v>0.33678894454935338</v>
      </c>
      <c r="R59">
        <v>0.3427100233524884</v>
      </c>
      <c r="S59">
        <v>0.34539840187492837</v>
      </c>
      <c r="T59">
        <v>0.26600000000000018</v>
      </c>
      <c r="U59">
        <v>0.2</v>
      </c>
      <c r="V59">
        <v>0.2</v>
      </c>
      <c r="X59">
        <v>0.68418430203805547</v>
      </c>
      <c r="Y59">
        <v>0.46597112404643043</v>
      </c>
      <c r="Z59">
        <v>0.7984140655035894</v>
      </c>
      <c r="AA59">
        <v>0.51088277470314425</v>
      </c>
      <c r="AB59">
        <v>1.4564163361305462</v>
      </c>
      <c r="AC59">
        <v>3.7290189885796545</v>
      </c>
      <c r="AD59">
        <v>7.6187579720360494</v>
      </c>
      <c r="AE59">
        <v>9.3290568972160504</v>
      </c>
      <c r="AF59">
        <v>11.104058211901842</v>
      </c>
      <c r="AG59">
        <v>11.716928716164762</v>
      </c>
      <c r="AH59">
        <v>11.756078283273501</v>
      </c>
      <c r="AI59">
        <v>11.232917148321338</v>
      </c>
      <c r="AJ59">
        <v>10.455086650685979</v>
      </c>
      <c r="AK59">
        <v>9.6095297580667776</v>
      </c>
      <c r="AL59">
        <v>8.8339472807387995</v>
      </c>
      <c r="AM59">
        <v>8.6559982268777631</v>
      </c>
      <c r="AN59">
        <v>8.6450429291850526</v>
      </c>
      <c r="AO59">
        <v>6.6504407581605696</v>
      </c>
      <c r="AP59">
        <v>5</v>
      </c>
      <c r="AQ59">
        <v>5</v>
      </c>
      <c r="AS59">
        <v>0.35781074353240233</v>
      </c>
      <c r="AT59">
        <v>0.41250657778845368</v>
      </c>
      <c r="AU59">
        <v>0.54164254369971965</v>
      </c>
      <c r="AV59">
        <v>0.22855088020838804</v>
      </c>
      <c r="AW59">
        <v>0.32430392459664042</v>
      </c>
      <c r="AX59">
        <v>0.42059696768502752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6.4029245183035238E-2</v>
      </c>
      <c r="BO59">
        <v>5.080251194260501E-2</v>
      </c>
      <c r="BP59">
        <v>5.2460928466793698E-2</v>
      </c>
      <c r="BQ59">
        <v>3.9891117267611312E-2</v>
      </c>
      <c r="BR59">
        <v>3.9899398480886E-2</v>
      </c>
      <c r="BS59">
        <v>3.9901367415168081E-2</v>
      </c>
    </row>
    <row r="60" spans="1:71" x14ac:dyDescent="0.25">
      <c r="A60">
        <v>58</v>
      </c>
      <c r="B60">
        <v>202</v>
      </c>
      <c r="C60">
        <v>0.18504374128618481</v>
      </c>
      <c r="D60">
        <v>0.12679374887463679</v>
      </c>
      <c r="E60">
        <v>0.13007515266541897</v>
      </c>
      <c r="F60">
        <v>0.17349134336518854</v>
      </c>
      <c r="G60">
        <v>0.17847243769538318</v>
      </c>
      <c r="H60">
        <v>0.18375112824474832</v>
      </c>
      <c r="I60">
        <v>0.18928885076237165</v>
      </c>
      <c r="J60">
        <v>0.19504981055956105</v>
      </c>
      <c r="K60">
        <v>0.29770306505690719</v>
      </c>
      <c r="L60">
        <v>0.30383523981401933</v>
      </c>
      <c r="M60">
        <v>0.31007006092974704</v>
      </c>
      <c r="N60">
        <v>0.31639567981494665</v>
      </c>
      <c r="O60">
        <v>0.32280155012287343</v>
      </c>
      <c r="P60">
        <v>0.32927832313815697</v>
      </c>
      <c r="Q60">
        <v>0.33581773783619701</v>
      </c>
      <c r="R60">
        <v>0.34238416672700711</v>
      </c>
      <c r="S60">
        <v>0.34539840187492837</v>
      </c>
      <c r="T60">
        <v>0.26600000000000018</v>
      </c>
      <c r="U60">
        <v>0.2</v>
      </c>
      <c r="V60">
        <v>0.2</v>
      </c>
      <c r="X60">
        <v>0.74267303161341058</v>
      </c>
      <c r="Y60">
        <v>0.48151907074440931</v>
      </c>
      <c r="Z60">
        <v>0.80932710616415515</v>
      </c>
      <c r="AA60">
        <v>0.52096193843950522</v>
      </c>
      <c r="AB60">
        <v>1.433852272808166</v>
      </c>
      <c r="AC60">
        <v>3.6124425408710685</v>
      </c>
      <c r="AD60">
        <v>7.3994158958124343</v>
      </c>
      <c r="AE60">
        <v>9.0891416920794388</v>
      </c>
      <c r="AF60">
        <v>10.615518007783603</v>
      </c>
      <c r="AG60">
        <v>11.104326549324899</v>
      </c>
      <c r="AH60">
        <v>11.226486949935266</v>
      </c>
      <c r="AI60">
        <v>10.907089469446916</v>
      </c>
      <c r="AJ60">
        <v>10.324400294459306</v>
      </c>
      <c r="AK60">
        <v>9.5626419984559607</v>
      </c>
      <c r="AL60">
        <v>8.8083989313335405</v>
      </c>
      <c r="AM60">
        <v>8.6477600703083581</v>
      </c>
      <c r="AN60">
        <v>8.6450429291850526</v>
      </c>
      <c r="AO60">
        <v>6.6504407581605696</v>
      </c>
      <c r="AP60">
        <v>5</v>
      </c>
      <c r="AQ60">
        <v>5</v>
      </c>
      <c r="AS60">
        <v>0.36596815669517924</v>
      </c>
      <c r="AT60">
        <v>0.41692059273852861</v>
      </c>
      <c r="AU60">
        <v>0.53602391206806244</v>
      </c>
      <c r="AV60">
        <v>0.23787022180124054</v>
      </c>
      <c r="AW60">
        <v>0.33646192951656095</v>
      </c>
      <c r="AX60">
        <v>0.46015202835552238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6.6646142738132047E-2</v>
      </c>
      <c r="BO60">
        <v>4.680179190949961E-2</v>
      </c>
      <c r="BP60">
        <v>4.8596019830043483E-2</v>
      </c>
      <c r="BQ60">
        <v>3.805790844814718E-2</v>
      </c>
      <c r="BR60">
        <v>3.9546764708033227E-2</v>
      </c>
      <c r="BS60">
        <v>4.1124699299188001E-2</v>
      </c>
    </row>
    <row r="61" spans="1:71" x14ac:dyDescent="0.25">
      <c r="A61">
        <v>59</v>
      </c>
      <c r="B61">
        <v>203</v>
      </c>
      <c r="C61">
        <v>0.21431242743356874</v>
      </c>
      <c r="D61">
        <v>0.21431242743356874</v>
      </c>
      <c r="E61">
        <v>0.21431242743356874</v>
      </c>
      <c r="F61">
        <v>0.24908731015293847</v>
      </c>
      <c r="G61">
        <v>0.24908731015293847</v>
      </c>
      <c r="H61">
        <v>0.24908731015293847</v>
      </c>
      <c r="I61">
        <v>0.24908731015293847</v>
      </c>
      <c r="J61">
        <v>0.24908731015293847</v>
      </c>
      <c r="K61">
        <v>0.34539840187492837</v>
      </c>
      <c r="L61">
        <v>0.34539840187492837</v>
      </c>
      <c r="M61">
        <v>0.34539840187492837</v>
      </c>
      <c r="N61">
        <v>0.34539840187492837</v>
      </c>
      <c r="O61">
        <v>0.34539840187492837</v>
      </c>
      <c r="P61">
        <v>0.34539840187492837</v>
      </c>
      <c r="Q61">
        <v>0.34539840187492837</v>
      </c>
      <c r="R61">
        <v>0.3453984018749281</v>
      </c>
      <c r="S61">
        <v>0.34539840187492837</v>
      </c>
      <c r="T61">
        <v>0.26600000000000018</v>
      </c>
      <c r="U61">
        <v>0.2</v>
      </c>
      <c r="V61">
        <v>0.2</v>
      </c>
      <c r="X61">
        <v>1.5611331164982591E-2</v>
      </c>
      <c r="Y61">
        <v>8.5361031986061695E-2</v>
      </c>
      <c r="Z61">
        <v>0.24881203112594127</v>
      </c>
      <c r="AA61">
        <v>0.58172812763637627</v>
      </c>
      <c r="AB61">
        <v>0.92453547788493751</v>
      </c>
      <c r="AC61">
        <v>1.7753169327294085</v>
      </c>
      <c r="AD61">
        <v>4.1005247691587261</v>
      </c>
      <c r="AE61">
        <v>7.4786272599375234</v>
      </c>
      <c r="AF61">
        <v>12.458568219303785</v>
      </c>
      <c r="AG61">
        <v>12.40247952686321</v>
      </c>
      <c r="AH61">
        <v>12.20180791495736</v>
      </c>
      <c r="AI61">
        <v>11.807292557551282</v>
      </c>
      <c r="AJ61">
        <v>11.114365491354821</v>
      </c>
      <c r="AK61">
        <v>10.120952420147916</v>
      </c>
      <c r="AL61">
        <v>9.0983233819900473</v>
      </c>
      <c r="AM61">
        <v>8.7271011326577064</v>
      </c>
      <c r="AN61">
        <v>8.6450429291850526</v>
      </c>
      <c r="AO61">
        <v>6.6504407581605696</v>
      </c>
      <c r="AP61">
        <v>5</v>
      </c>
      <c r="AQ61">
        <v>5</v>
      </c>
      <c r="AS61">
        <v>0.37374239824409999</v>
      </c>
      <c r="AT61">
        <v>0.43091968876118453</v>
      </c>
      <c r="AU61">
        <v>0.54433498850324691</v>
      </c>
      <c r="AV61">
        <v>0.24758429431247098</v>
      </c>
      <c r="AW61">
        <v>0.34662062296889751</v>
      </c>
      <c r="AX61">
        <v>0.48492004492516799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4.9941218533539576E-2</v>
      </c>
      <c r="BO61">
        <v>4.3765265029480763E-2</v>
      </c>
      <c r="BP61">
        <v>4.5561025672104814E-2</v>
      </c>
      <c r="BQ61">
        <v>3.0373611766596146E-2</v>
      </c>
      <c r="BR61">
        <v>3.0372637215381477E-2</v>
      </c>
      <c r="BS61">
        <v>3.0372331298539532E-2</v>
      </c>
    </row>
    <row r="62" spans="1:71" x14ac:dyDescent="0.25">
      <c r="A62">
        <v>60</v>
      </c>
      <c r="B62">
        <v>204</v>
      </c>
      <c r="C62">
        <v>0.21163164605319304</v>
      </c>
      <c r="D62">
        <v>0.20693524111926886</v>
      </c>
      <c r="E62">
        <v>0.20744401258922057</v>
      </c>
      <c r="F62">
        <v>0.24283420350019411</v>
      </c>
      <c r="G62">
        <v>0.24333445203241363</v>
      </c>
      <c r="H62">
        <v>0.24383470056463319</v>
      </c>
      <c r="I62">
        <v>0.24433494909685274</v>
      </c>
      <c r="J62">
        <v>0.2448351976290723</v>
      </c>
      <c r="K62">
        <v>0.34169814565124518</v>
      </c>
      <c r="L62">
        <v>0.34219151314773627</v>
      </c>
      <c r="M62">
        <v>0.34268488064422736</v>
      </c>
      <c r="N62">
        <v>0.34317824814071846</v>
      </c>
      <c r="O62">
        <v>0.34367161563720955</v>
      </c>
      <c r="P62">
        <v>0.34416498313370064</v>
      </c>
      <c r="Q62">
        <v>0.34465835063019173</v>
      </c>
      <c r="R62">
        <v>0.34515171812668255</v>
      </c>
      <c r="S62">
        <v>0.34539840187492837</v>
      </c>
      <c r="T62">
        <v>0.26600000000000018</v>
      </c>
      <c r="U62">
        <v>0.2</v>
      </c>
      <c r="V62">
        <v>0.2</v>
      </c>
      <c r="X62">
        <v>8.2062422893593209E-2</v>
      </c>
      <c r="Y62">
        <v>0.15646757472999187</v>
      </c>
      <c r="Z62">
        <v>0.32943300310070428</v>
      </c>
      <c r="AA62">
        <v>0.59945129375829065</v>
      </c>
      <c r="AB62">
        <v>0.94434163366496982</v>
      </c>
      <c r="AC62">
        <v>1.7840782816548371</v>
      </c>
      <c r="AD62">
        <v>4.0207687854384426</v>
      </c>
      <c r="AE62">
        <v>7.3487441183743378</v>
      </c>
      <c r="AF62">
        <v>11.131827577672906</v>
      </c>
      <c r="AG62">
        <v>11.272917900896358</v>
      </c>
      <c r="AH62">
        <v>11.31795150633832</v>
      </c>
      <c r="AI62">
        <v>11.202851248341007</v>
      </c>
      <c r="AJ62">
        <v>10.808079872472977</v>
      </c>
      <c r="AK62">
        <v>10.070411318806565</v>
      </c>
      <c r="AL62">
        <v>9.0787874400012729</v>
      </c>
      <c r="AM62">
        <v>8.7208637770089883</v>
      </c>
      <c r="AN62">
        <v>8.6450429291850526</v>
      </c>
      <c r="AO62">
        <v>6.6504407581605696</v>
      </c>
      <c r="AP62">
        <v>5</v>
      </c>
      <c r="AQ62">
        <v>5</v>
      </c>
      <c r="AS62">
        <v>0.3588536374900424</v>
      </c>
      <c r="AT62">
        <v>0.40817698491216914</v>
      </c>
      <c r="AU62">
        <v>0.50688219251220357</v>
      </c>
      <c r="AV62">
        <v>0.24632620035678526</v>
      </c>
      <c r="AW62">
        <v>0.3364013938435354</v>
      </c>
      <c r="AX62">
        <v>0.46935982030719076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5.156233097455299E-2</v>
      </c>
      <c r="BO62">
        <v>5.140693698461684E-2</v>
      </c>
      <c r="BP62">
        <v>5.1406274672168489E-2</v>
      </c>
      <c r="BQ62">
        <v>3.1444873086277539E-2</v>
      </c>
      <c r="BR62">
        <v>3.1444585474618821E-2</v>
      </c>
      <c r="BS62">
        <v>3.1444437181056821E-2</v>
      </c>
    </row>
    <row r="63" spans="1:71" x14ac:dyDescent="0.25">
      <c r="A63">
        <v>61</v>
      </c>
      <c r="B63">
        <v>205</v>
      </c>
      <c r="C63">
        <v>0.2089898723272223</v>
      </c>
      <c r="D63">
        <v>0.1996704432172276</v>
      </c>
      <c r="E63">
        <v>0.20067662980537992</v>
      </c>
      <c r="F63">
        <v>0.23668848650057508</v>
      </c>
      <c r="G63">
        <v>0.23767604907583204</v>
      </c>
      <c r="H63">
        <v>0.23866442182139988</v>
      </c>
      <c r="I63">
        <v>0.23965358829198213</v>
      </c>
      <c r="J63">
        <v>0.24064353238535713</v>
      </c>
      <c r="K63">
        <v>0.33804789428615784</v>
      </c>
      <c r="L63">
        <v>0.3390257722976317</v>
      </c>
      <c r="M63">
        <v>0.34000434357625697</v>
      </c>
      <c r="N63">
        <v>0.3409835972819239</v>
      </c>
      <c r="O63">
        <v>0.34196352274624586</v>
      </c>
      <c r="P63">
        <v>0.34294410946970239</v>
      </c>
      <c r="Q63">
        <v>0.34392534711883233</v>
      </c>
      <c r="R63">
        <v>0.3449072255234768</v>
      </c>
      <c r="S63">
        <v>0.34539840187492837</v>
      </c>
      <c r="T63">
        <v>0.26600000000000018</v>
      </c>
      <c r="U63">
        <v>0.2</v>
      </c>
      <c r="V63">
        <v>0.2</v>
      </c>
      <c r="X63">
        <v>0.14674624076067888</v>
      </c>
      <c r="Y63">
        <v>0.21933515150986005</v>
      </c>
      <c r="Z63">
        <v>0.39948710190441927</v>
      </c>
      <c r="AA63">
        <v>0.61711867979342028</v>
      </c>
      <c r="AB63">
        <v>0.9628179043279278</v>
      </c>
      <c r="AC63">
        <v>1.7912353097748526</v>
      </c>
      <c r="AD63">
        <v>3.9422276313845916</v>
      </c>
      <c r="AE63">
        <v>7.220739534163787</v>
      </c>
      <c r="AF63">
        <v>10.452712466191576</v>
      </c>
      <c r="AG63">
        <v>10.610601459876843</v>
      </c>
      <c r="AH63">
        <v>10.734532971005136</v>
      </c>
      <c r="AI63">
        <v>10.760009424401352</v>
      </c>
      <c r="AJ63">
        <v>10.562493371228896</v>
      </c>
      <c r="AK63">
        <v>10.028311361917721</v>
      </c>
      <c r="AL63">
        <v>9.0594379412563981</v>
      </c>
      <c r="AM63">
        <v>8.714681863354361</v>
      </c>
      <c r="AN63">
        <v>8.6450429291850526</v>
      </c>
      <c r="AO63">
        <v>6.6504407581605696</v>
      </c>
      <c r="AP63">
        <v>5</v>
      </c>
      <c r="AQ63">
        <v>5</v>
      </c>
      <c r="AS63">
        <v>0.34719629121317486</v>
      </c>
      <c r="AT63">
        <v>0.39257484378954677</v>
      </c>
      <c r="AU63">
        <v>0.4786994481276059</v>
      </c>
      <c r="AV63">
        <v>0.24550570244117695</v>
      </c>
      <c r="AW63">
        <v>0.32785537497175632</v>
      </c>
      <c r="AX63">
        <v>0.45596604221709608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5.3026471590218116E-2</v>
      </c>
      <c r="BO63">
        <v>5.2958342881372557E-2</v>
      </c>
      <c r="BP63">
        <v>5.2980765792901827E-2</v>
      </c>
      <c r="BQ63">
        <v>3.2411895361582434E-2</v>
      </c>
      <c r="BR63">
        <v>3.2412388770189822E-2</v>
      </c>
      <c r="BS63">
        <v>3.2412420884582155E-2</v>
      </c>
    </row>
    <row r="64" spans="1:71" x14ac:dyDescent="0.25">
      <c r="A64">
        <v>62</v>
      </c>
      <c r="B64">
        <v>206</v>
      </c>
      <c r="C64">
        <v>0.20573031219415355</v>
      </c>
      <c r="D64">
        <v>0.19231563811005678</v>
      </c>
      <c r="E64">
        <v>0.19382033476086621</v>
      </c>
      <c r="F64">
        <v>0.23047558189410525</v>
      </c>
      <c r="G64">
        <v>0.23195004983812204</v>
      </c>
      <c r="H64">
        <v>0.23342733837658772</v>
      </c>
      <c r="I64">
        <v>0.23490735317942205</v>
      </c>
      <c r="J64">
        <v>0.23639000326256002</v>
      </c>
      <c r="K64">
        <v>0.33433862981522317</v>
      </c>
      <c r="L64">
        <v>0.33580640487724106</v>
      </c>
      <c r="M64">
        <v>0.33727639077927463</v>
      </c>
      <c r="N64">
        <v>0.33874853151198819</v>
      </c>
      <c r="O64">
        <v>0.34022277254140937</v>
      </c>
      <c r="P64">
        <v>0.34169906076913203</v>
      </c>
      <c r="Q64">
        <v>0.34317734449356802</v>
      </c>
      <c r="R64">
        <v>0.3446575733722248</v>
      </c>
      <c r="S64">
        <v>0.34539840187492837</v>
      </c>
      <c r="T64">
        <v>0.26600000000000018</v>
      </c>
      <c r="U64">
        <v>0.2</v>
      </c>
      <c r="V64">
        <v>0.2</v>
      </c>
      <c r="X64">
        <v>0.20571550576138889</v>
      </c>
      <c r="Y64">
        <v>0.2704030031975993</v>
      </c>
      <c r="Z64">
        <v>0.45465495921216836</v>
      </c>
      <c r="AA64">
        <v>0.63179071912455187</v>
      </c>
      <c r="AB64">
        <v>0.97665583921364119</v>
      </c>
      <c r="AC64">
        <v>1.7927962515552109</v>
      </c>
      <c r="AD64">
        <v>3.8625760625744365</v>
      </c>
      <c r="AE64">
        <v>7.0908117644916304</v>
      </c>
      <c r="AF64">
        <v>10.133761328936293</v>
      </c>
      <c r="AG64">
        <v>10.244214592830161</v>
      </c>
      <c r="AH64">
        <v>10.363935568743537</v>
      </c>
      <c r="AI64">
        <v>10.443130194768214</v>
      </c>
      <c r="AJ64">
        <v>10.367954244288176</v>
      </c>
      <c r="AK64">
        <v>9.9917712087140025</v>
      </c>
      <c r="AL64">
        <v>9.0396916396073799</v>
      </c>
      <c r="AM64">
        <v>8.7083693977573446</v>
      </c>
      <c r="AN64">
        <v>8.6450429291850526</v>
      </c>
      <c r="AO64">
        <v>6.6504407581605696</v>
      </c>
      <c r="AP64">
        <v>5</v>
      </c>
      <c r="AQ64">
        <v>5</v>
      </c>
      <c r="AS64">
        <v>0.33931925916288691</v>
      </c>
      <c r="AT64">
        <v>0.38401397309970298</v>
      </c>
      <c r="AU64">
        <v>0.46028730128690287</v>
      </c>
      <c r="AV64">
        <v>0.24532568749754913</v>
      </c>
      <c r="AW64">
        <v>0.32137611485187229</v>
      </c>
      <c r="AX64">
        <v>0.44534458912046648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5.1092232950422062E-2</v>
      </c>
      <c r="BO64">
        <v>5.0895104337005462E-2</v>
      </c>
      <c r="BP64">
        <v>5.0887362032470164E-2</v>
      </c>
      <c r="BQ64">
        <v>3.1127623946110145E-2</v>
      </c>
      <c r="BR64">
        <v>3.112713090577331E-2</v>
      </c>
      <c r="BS64">
        <v>3.1126935671839318E-2</v>
      </c>
    </row>
    <row r="65" spans="1:71" x14ac:dyDescent="0.25">
      <c r="A65">
        <v>63</v>
      </c>
      <c r="B65">
        <v>207</v>
      </c>
      <c r="C65">
        <v>0.20317835890547403</v>
      </c>
      <c r="D65">
        <v>0.18532250866850361</v>
      </c>
      <c r="E65">
        <v>0.18729339183458735</v>
      </c>
      <c r="F65">
        <v>0.22458450028706545</v>
      </c>
      <c r="G65">
        <v>0.22651228593182177</v>
      </c>
      <c r="H65">
        <v>0.22844667886407263</v>
      </c>
      <c r="I65">
        <v>0.23038736985172245</v>
      </c>
      <c r="J65">
        <v>0.23233406490903918</v>
      </c>
      <c r="K65">
        <v>0.33079782887410708</v>
      </c>
      <c r="L65">
        <v>0.33273014817347146</v>
      </c>
      <c r="M65">
        <v>0.3346671983068405</v>
      </c>
      <c r="N65">
        <v>0.33660881294025741</v>
      </c>
      <c r="O65">
        <v>0.33855483180279144</v>
      </c>
      <c r="P65">
        <v>0.340505100468176</v>
      </c>
      <c r="Q65">
        <v>0.34245947014333861</v>
      </c>
      <c r="R65">
        <v>0.34441779746371642</v>
      </c>
      <c r="S65">
        <v>0.34539840187492837</v>
      </c>
      <c r="T65">
        <v>0.26600000000000018</v>
      </c>
      <c r="U65">
        <v>0.2</v>
      </c>
      <c r="V65">
        <v>0.2</v>
      </c>
      <c r="X65">
        <v>0.26162220794253188</v>
      </c>
      <c r="Y65">
        <v>0.3150892460971485</v>
      </c>
      <c r="Z65">
        <v>0.50190270201889842</v>
      </c>
      <c r="AA65">
        <v>0.64532827438422957</v>
      </c>
      <c r="AB65">
        <v>0.98879768900140563</v>
      </c>
      <c r="AC65">
        <v>1.7933621332768894</v>
      </c>
      <c r="AD65">
        <v>3.7867959561560829</v>
      </c>
      <c r="AE65">
        <v>6.967024943112432</v>
      </c>
      <c r="AF65">
        <v>10.008601992230156</v>
      </c>
      <c r="AG65">
        <v>10.06441422741721</v>
      </c>
      <c r="AH65">
        <v>10.147446868297591</v>
      </c>
      <c r="AI65">
        <v>10.229750626185869</v>
      </c>
      <c r="AJ65">
        <v>10.221190918618349</v>
      </c>
      <c r="AK65">
        <v>9.9567356743180806</v>
      </c>
      <c r="AL65">
        <v>9.0207423526761676</v>
      </c>
      <c r="AM65">
        <v>8.7023068272416797</v>
      </c>
      <c r="AN65">
        <v>8.6450429291850526</v>
      </c>
      <c r="AO65">
        <v>6.6504407581605696</v>
      </c>
      <c r="AP65">
        <v>5</v>
      </c>
      <c r="AQ65">
        <v>5</v>
      </c>
      <c r="AS65">
        <v>0.33465815837628143</v>
      </c>
      <c r="AT65">
        <v>0.38018118799280737</v>
      </c>
      <c r="AU65">
        <v>0.44824691552438062</v>
      </c>
      <c r="AV65">
        <v>0.24644449651798006</v>
      </c>
      <c r="AW65">
        <v>0.31701665238915994</v>
      </c>
      <c r="AX65">
        <v>0.43691993624346681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5.1245601394537481E-2</v>
      </c>
      <c r="BO65">
        <v>5.1057092614627687E-2</v>
      </c>
      <c r="BP65">
        <v>5.1051519728539281E-2</v>
      </c>
      <c r="BQ65">
        <v>3.1228882330889936E-2</v>
      </c>
      <c r="BR65">
        <v>3.1228461561183713E-2</v>
      </c>
      <c r="BS65">
        <v>3.1228282982256727E-2</v>
      </c>
    </row>
    <row r="66" spans="1:71" x14ac:dyDescent="0.25">
      <c r="A66">
        <v>64</v>
      </c>
      <c r="B66">
        <v>208</v>
      </c>
      <c r="C66">
        <v>0.2004574501006875</v>
      </c>
      <c r="D66">
        <v>0.17789656484969127</v>
      </c>
      <c r="E66">
        <v>0.18035362045286651</v>
      </c>
      <c r="F66">
        <v>0.21832836835169528</v>
      </c>
      <c r="G66">
        <v>0.22072885371973722</v>
      </c>
      <c r="H66">
        <v>0.22314212055859545</v>
      </c>
      <c r="I66">
        <v>0.22556740976980094</v>
      </c>
      <c r="J66">
        <v>0.22800400873652951</v>
      </c>
      <c r="K66">
        <v>0.32700797646988522</v>
      </c>
      <c r="L66">
        <v>0.32943489995833597</v>
      </c>
      <c r="M66">
        <v>0.33187020722796612</v>
      </c>
      <c r="N66">
        <v>0.33431352490015193</v>
      </c>
      <c r="O66">
        <v>0.33676449661219565</v>
      </c>
      <c r="P66">
        <v>0.33922278228230257</v>
      </c>
      <c r="Q66">
        <v>0.34168805739836472</v>
      </c>
      <c r="R66">
        <v>0.34416001233087562</v>
      </c>
      <c r="S66">
        <v>0.34539840187492837</v>
      </c>
      <c r="T66">
        <v>0.26600000000000018</v>
      </c>
      <c r="U66">
        <v>0.2</v>
      </c>
      <c r="V66">
        <v>0.2</v>
      </c>
      <c r="X66">
        <v>0.32405963181925113</v>
      </c>
      <c r="Y66">
        <v>0.36215941576135574</v>
      </c>
      <c r="Z66">
        <v>0.55099023899622757</v>
      </c>
      <c r="AA66">
        <v>0.66142968321499951</v>
      </c>
      <c r="AB66">
        <v>1.0028613432981786</v>
      </c>
      <c r="AC66">
        <v>1.7949749411755962</v>
      </c>
      <c r="AD66">
        <v>3.7058791013423442</v>
      </c>
      <c r="AE66">
        <v>6.8347131933053786</v>
      </c>
      <c r="AF66">
        <v>9.8926074995800768</v>
      </c>
      <c r="AG66">
        <v>9.9637426136219656</v>
      </c>
      <c r="AH66">
        <v>10.029557624053336</v>
      </c>
      <c r="AI66">
        <v>10.091702273741879</v>
      </c>
      <c r="AJ66">
        <v>10.112012514059369</v>
      </c>
      <c r="AK66">
        <v>9.9190975677581044</v>
      </c>
      <c r="AL66">
        <v>9.0003766551655069</v>
      </c>
      <c r="AM66">
        <v>8.6957885646861648</v>
      </c>
      <c r="AN66">
        <v>8.6450429291850526</v>
      </c>
      <c r="AO66">
        <v>6.6504407581605696</v>
      </c>
      <c r="AP66">
        <v>5</v>
      </c>
      <c r="AQ66">
        <v>5</v>
      </c>
      <c r="AS66">
        <v>0.33175353868507174</v>
      </c>
      <c r="AT66">
        <v>0.37989141985750574</v>
      </c>
      <c r="AU66">
        <v>0.43991765133485461</v>
      </c>
      <c r="AV66">
        <v>0.24861875903428998</v>
      </c>
      <c r="AW66">
        <v>0.31381667301009858</v>
      </c>
      <c r="AX66">
        <v>0.42944773088968169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5.9532804185509554E-2</v>
      </c>
      <c r="BO66">
        <v>5.9933185234461381E-2</v>
      </c>
      <c r="BP66">
        <v>6.0070832187127055E-2</v>
      </c>
      <c r="BQ66">
        <v>3.6767353654113225E-2</v>
      </c>
      <c r="BR66">
        <v>3.6771680642538579E-2</v>
      </c>
      <c r="BS66">
        <v>3.677259857950322E-2</v>
      </c>
    </row>
    <row r="67" spans="1:71" x14ac:dyDescent="0.25">
      <c r="A67">
        <v>65</v>
      </c>
      <c r="B67">
        <v>209</v>
      </c>
      <c r="C67">
        <v>0.19775961553253837</v>
      </c>
      <c r="D67">
        <v>0.17057065158523785</v>
      </c>
      <c r="E67">
        <v>0.17349222743605772</v>
      </c>
      <c r="F67">
        <v>0.2121642129876109</v>
      </c>
      <c r="G67">
        <v>0.21501626612651725</v>
      </c>
      <c r="H67">
        <v>0.21789084242010442</v>
      </c>
      <c r="I67">
        <v>0.22078631176943952</v>
      </c>
      <c r="J67">
        <v>0.22370116329865097</v>
      </c>
      <c r="K67">
        <v>0.32323245903728365</v>
      </c>
      <c r="L67">
        <v>0.32614822948457095</v>
      </c>
      <c r="M67">
        <v>0.32907747199818049</v>
      </c>
      <c r="N67">
        <v>0.33201945546316103</v>
      </c>
      <c r="O67">
        <v>0.33497348905719998</v>
      </c>
      <c r="P67">
        <v>0.33793892020194954</v>
      </c>
      <c r="Q67">
        <v>0.34091513258257489</v>
      </c>
      <c r="R67">
        <v>0.34390154423932323</v>
      </c>
      <c r="S67">
        <v>0.34539840187492837</v>
      </c>
      <c r="T67">
        <v>0.26600000000000018</v>
      </c>
      <c r="U67">
        <v>0.2</v>
      </c>
      <c r="V67">
        <v>0.2</v>
      </c>
      <c r="X67">
        <v>0.38964021194414655</v>
      </c>
      <c r="Y67">
        <v>0.40912405754224129</v>
      </c>
      <c r="Z67">
        <v>0.59940131934181506</v>
      </c>
      <c r="AA67">
        <v>0.67963223582451759</v>
      </c>
      <c r="AB67">
        <v>1.0185585642886059</v>
      </c>
      <c r="AC67">
        <v>1.7982409786158748</v>
      </c>
      <c r="AD67">
        <v>3.6256287859173937</v>
      </c>
      <c r="AE67">
        <v>6.7032489038516827</v>
      </c>
      <c r="AF67">
        <v>9.7770568764162018</v>
      </c>
      <c r="AG67">
        <v>9.8633356952458069</v>
      </c>
      <c r="AH67">
        <v>9.9444411961624173</v>
      </c>
      <c r="AI67">
        <v>10.011876753445467</v>
      </c>
      <c r="AJ67">
        <v>10.03737395780483</v>
      </c>
      <c r="AK67">
        <v>9.8814139732465396</v>
      </c>
      <c r="AL67">
        <v>8.9799709476935821</v>
      </c>
      <c r="AM67">
        <v>8.6892530201022371</v>
      </c>
      <c r="AN67">
        <v>8.6450429291850526</v>
      </c>
      <c r="AO67">
        <v>6.6504407581605696</v>
      </c>
      <c r="AP67">
        <v>5</v>
      </c>
      <c r="AQ67">
        <v>5</v>
      </c>
      <c r="AS67">
        <v>0.33126890422245431</v>
      </c>
      <c r="AT67">
        <v>0.38370014712718659</v>
      </c>
      <c r="AU67">
        <v>0.43637582057723556</v>
      </c>
      <c r="AV67">
        <v>0.25202609618659194</v>
      </c>
      <c r="AW67">
        <v>0.31231291236877268</v>
      </c>
      <c r="AX67">
        <v>0.4237619626449709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6.5095945662277929E-2</v>
      </c>
      <c r="BO67">
        <v>6.6327911658659713E-2</v>
      </c>
      <c r="BP67">
        <v>6.6660200306909959E-2</v>
      </c>
      <c r="BQ67">
        <v>4.0826869253042963E-2</v>
      </c>
      <c r="BR67">
        <v>4.0837645789816746E-2</v>
      </c>
      <c r="BS67">
        <v>4.0840061865334856E-2</v>
      </c>
    </row>
    <row r="68" spans="1:71" x14ac:dyDescent="0.25">
      <c r="A68">
        <v>66</v>
      </c>
      <c r="B68">
        <v>210</v>
      </c>
      <c r="C68">
        <v>0.21431242743356874</v>
      </c>
      <c r="D68">
        <v>0.1691048957086915</v>
      </c>
      <c r="E68">
        <v>0.16989430148961954</v>
      </c>
      <c r="F68">
        <v>0.2090411537479395</v>
      </c>
      <c r="G68">
        <v>0.21208358579122938</v>
      </c>
      <c r="H68">
        <v>0.21516317197556936</v>
      </c>
      <c r="I68">
        <v>0.21827675476799105</v>
      </c>
      <c r="J68">
        <v>0.2214214403650398</v>
      </c>
      <c r="K68">
        <v>0.32122995791986791</v>
      </c>
      <c r="L68">
        <v>0.32439379359707077</v>
      </c>
      <c r="M68">
        <v>0.32757787902954622</v>
      </c>
      <c r="N68">
        <v>0.33078091755612699</v>
      </c>
      <c r="O68">
        <v>0.33400169607196528</v>
      </c>
      <c r="P68">
        <v>0.33723908020313009</v>
      </c>
      <c r="Q68">
        <v>0.34049200963273213</v>
      </c>
      <c r="R68">
        <v>0.34375949359953772</v>
      </c>
      <c r="S68">
        <v>0.34539840187492837</v>
      </c>
      <c r="T68">
        <v>0.26600000000000018</v>
      </c>
      <c r="U68">
        <v>0.2</v>
      </c>
      <c r="V68">
        <v>0.2</v>
      </c>
      <c r="X68">
        <v>0.44681946142161844</v>
      </c>
      <c r="Y68">
        <v>0.46339681352481393</v>
      </c>
      <c r="Z68">
        <v>0.65081066680003052</v>
      </c>
      <c r="AA68">
        <v>0.70471208665899021</v>
      </c>
      <c r="AB68">
        <v>1.0435496157467155</v>
      </c>
      <c r="AC68">
        <v>1.8179002021885651</v>
      </c>
      <c r="AD68">
        <v>3.5839444475460298</v>
      </c>
      <c r="AE68">
        <v>6.6342332284472532</v>
      </c>
      <c r="AF68">
        <v>9.7161081173190063</v>
      </c>
      <c r="AG68">
        <v>9.8099913019319995</v>
      </c>
      <c r="AH68">
        <v>9.8989173221482734</v>
      </c>
      <c r="AI68">
        <v>9.9743894371537394</v>
      </c>
      <c r="AJ68">
        <v>10.005036728832241</v>
      </c>
      <c r="AK68">
        <v>9.8609080202021726</v>
      </c>
      <c r="AL68">
        <v>8.9688117084474417</v>
      </c>
      <c r="AM68">
        <v>8.6856623877742702</v>
      </c>
      <c r="AN68">
        <v>8.6450429291850526</v>
      </c>
      <c r="AO68">
        <v>6.6504407581605696</v>
      </c>
      <c r="AP68">
        <v>5</v>
      </c>
      <c r="AQ68">
        <v>5</v>
      </c>
      <c r="AS68">
        <v>0.33299726874618291</v>
      </c>
      <c r="AT68">
        <v>0.3896835238259917</v>
      </c>
      <c r="AU68">
        <v>0.43651244530597388</v>
      </c>
      <c r="AV68">
        <v>0.25609784674988489</v>
      </c>
      <c r="AW68">
        <v>0.31254358106042257</v>
      </c>
      <c r="AX68">
        <v>0.42061248131245421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6.4280274260594572E-2</v>
      </c>
      <c r="BO68">
        <v>6.4202187172854197E-2</v>
      </c>
      <c r="BP68">
        <v>6.4239756147217886E-2</v>
      </c>
      <c r="BQ68">
        <v>3.9305256291144258E-2</v>
      </c>
      <c r="BR68">
        <v>3.930629279918952E-2</v>
      </c>
      <c r="BS68">
        <v>3.9306435208054269E-2</v>
      </c>
    </row>
    <row r="69" spans="1:71" x14ac:dyDescent="0.25">
      <c r="A69">
        <v>67</v>
      </c>
      <c r="B69">
        <v>211</v>
      </c>
      <c r="C69">
        <v>0.21431242743356874</v>
      </c>
      <c r="D69">
        <v>0.16250985586444755</v>
      </c>
      <c r="E69">
        <v>0.16369618179672993</v>
      </c>
      <c r="F69">
        <v>0.2035176599329033</v>
      </c>
      <c r="G69">
        <v>0.20693209385312131</v>
      </c>
      <c r="H69">
        <v>0.21040106714480439</v>
      </c>
      <c r="I69">
        <v>0.21391958182904944</v>
      </c>
      <c r="J69">
        <v>0.21748305923493197</v>
      </c>
      <c r="K69">
        <v>0.31775634054437779</v>
      </c>
      <c r="L69">
        <v>0.32136188369875873</v>
      </c>
      <c r="M69">
        <v>0.32499542441610135</v>
      </c>
      <c r="N69">
        <v>0.32865498127481602</v>
      </c>
      <c r="O69">
        <v>0.33233870931468473</v>
      </c>
      <c r="P69">
        <v>0.33604489238002699</v>
      </c>
      <c r="Q69">
        <v>0.33977193550653906</v>
      </c>
      <c r="R69">
        <v>0.34351835744386261</v>
      </c>
      <c r="S69">
        <v>0.34539840187492837</v>
      </c>
      <c r="T69">
        <v>0.26600000000000018</v>
      </c>
      <c r="U69">
        <v>0.2</v>
      </c>
      <c r="V69">
        <v>0.2</v>
      </c>
      <c r="X69">
        <v>0.51286723400745748</v>
      </c>
      <c r="Y69">
        <v>0.50172873492115788</v>
      </c>
      <c r="Z69">
        <v>0.68751767634396987</v>
      </c>
      <c r="AA69">
        <v>0.72057388241964371</v>
      </c>
      <c r="AB69">
        <v>1.0558623116064296</v>
      </c>
      <c r="AC69">
        <v>1.8181604193714249</v>
      </c>
      <c r="AD69">
        <v>3.5109456803083638</v>
      </c>
      <c r="AE69">
        <v>6.5140944964854848</v>
      </c>
      <c r="AF69">
        <v>9.6098945263623641</v>
      </c>
      <c r="AG69">
        <v>9.7174382916360944</v>
      </c>
      <c r="AH69">
        <v>9.8202592771846575</v>
      </c>
      <c r="AI69">
        <v>9.9098691420219911</v>
      </c>
      <c r="AJ69">
        <v>9.9549726131580165</v>
      </c>
      <c r="AK69">
        <v>9.8258657489179289</v>
      </c>
      <c r="AL69">
        <v>8.949804225547707</v>
      </c>
      <c r="AM69">
        <v>8.6795653999647548</v>
      </c>
      <c r="AN69">
        <v>8.6450429291850526</v>
      </c>
      <c r="AO69">
        <v>6.6504407581605696</v>
      </c>
      <c r="AP69">
        <v>5</v>
      </c>
      <c r="AQ69">
        <v>5</v>
      </c>
      <c r="AS69">
        <v>0.33170727492216279</v>
      </c>
      <c r="AT69">
        <v>0.39766803190595507</v>
      </c>
      <c r="AU69">
        <v>0.44042991030980377</v>
      </c>
      <c r="AV69">
        <v>0.26105616996566733</v>
      </c>
      <c r="AW69">
        <v>0.31420202844138995</v>
      </c>
      <c r="AX69">
        <v>0.41915756956675115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6.4861443797864918E-2</v>
      </c>
      <c r="BO69">
        <v>6.5145588913844615E-2</v>
      </c>
      <c r="BP69">
        <v>6.5266481257766004E-2</v>
      </c>
      <c r="BQ69">
        <v>3.9946089928172911E-2</v>
      </c>
      <c r="BR69">
        <v>3.9949894687282723E-2</v>
      </c>
      <c r="BS69">
        <v>3.9950682940079599E-2</v>
      </c>
    </row>
    <row r="70" spans="1:71" x14ac:dyDescent="0.25">
      <c r="A70">
        <v>68</v>
      </c>
      <c r="B70">
        <v>212</v>
      </c>
      <c r="C70">
        <v>0.21180700970643559</v>
      </c>
      <c r="D70">
        <v>0.15580819457832559</v>
      </c>
      <c r="E70">
        <v>0.1574227525928413</v>
      </c>
      <c r="F70">
        <v>0.19793863316297644</v>
      </c>
      <c r="G70">
        <v>0.2017060656520715</v>
      </c>
      <c r="H70">
        <v>0.20555212522993627</v>
      </c>
      <c r="I70">
        <v>0.20946900776154445</v>
      </c>
      <c r="J70">
        <v>0.21344957675839182</v>
      </c>
      <c r="K70">
        <v>0.31418351844759207</v>
      </c>
      <c r="L70">
        <v>0.31823911325727855</v>
      </c>
      <c r="M70">
        <v>0.3223324154057195</v>
      </c>
      <c r="N70">
        <v>0.32646047464315542</v>
      </c>
      <c r="O70">
        <v>0.33062056136138901</v>
      </c>
      <c r="P70">
        <v>0.33481015394584979</v>
      </c>
      <c r="Q70">
        <v>0.33902692593396061</v>
      </c>
      <c r="R70">
        <v>0.34326873323432677</v>
      </c>
      <c r="S70">
        <v>0.34539840187492837</v>
      </c>
      <c r="T70">
        <v>0.26600000000000018</v>
      </c>
      <c r="U70">
        <v>0.2</v>
      </c>
      <c r="V70">
        <v>0.2</v>
      </c>
      <c r="X70">
        <v>0.57208816368022652</v>
      </c>
      <c r="Y70">
        <v>0.53051917098048618</v>
      </c>
      <c r="Z70">
        <v>0.71391641657316929</v>
      </c>
      <c r="AA70">
        <v>0.73186836958509904</v>
      </c>
      <c r="AB70">
        <v>1.0627620286329524</v>
      </c>
      <c r="AC70">
        <v>1.8122044433720288</v>
      </c>
      <c r="AD70">
        <v>3.4363488510963447</v>
      </c>
      <c r="AE70">
        <v>6.3909999164861926</v>
      </c>
      <c r="AF70">
        <v>9.5006130348276816</v>
      </c>
      <c r="AG70">
        <v>9.6220844278277315</v>
      </c>
      <c r="AH70">
        <v>9.7391273844877588</v>
      </c>
      <c r="AI70">
        <v>9.843253808037602</v>
      </c>
      <c r="AJ70">
        <v>9.9032392431885761</v>
      </c>
      <c r="AK70">
        <v>9.7896291714238775</v>
      </c>
      <c r="AL70">
        <v>8.9301370861239953</v>
      </c>
      <c r="AM70">
        <v>8.6732536405695235</v>
      </c>
      <c r="AN70">
        <v>8.6450429291850526</v>
      </c>
      <c r="AO70">
        <v>6.6504407581605696</v>
      </c>
      <c r="AP70">
        <v>5</v>
      </c>
      <c r="AQ70">
        <v>5</v>
      </c>
      <c r="AS70">
        <v>0.33261792047938094</v>
      </c>
      <c r="AT70">
        <v>0.40775449496218041</v>
      </c>
      <c r="AU70">
        <v>0.44721343913724515</v>
      </c>
      <c r="AV70">
        <v>0.2665320915910861</v>
      </c>
      <c r="AW70">
        <v>0.31702994338299895</v>
      </c>
      <c r="AX70">
        <v>0.41930834208649964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6.0131575229987161E-2</v>
      </c>
      <c r="BO70">
        <v>6.0457381759974324E-2</v>
      </c>
      <c r="BP70">
        <v>6.0580427187703893E-2</v>
      </c>
      <c r="BQ70">
        <v>3.7080243791196218E-2</v>
      </c>
      <c r="BR70">
        <v>3.70841033714207E-2</v>
      </c>
      <c r="BS70">
        <v>3.7084911402805315E-2</v>
      </c>
    </row>
    <row r="71" spans="1:71" x14ac:dyDescent="0.25">
      <c r="A71">
        <v>69</v>
      </c>
      <c r="B71">
        <v>213</v>
      </c>
      <c r="C71">
        <v>0.20930429023153754</v>
      </c>
      <c r="D71">
        <v>0.14920850140524794</v>
      </c>
      <c r="E71">
        <v>0.15121965294741055</v>
      </c>
      <c r="F71">
        <v>0.19243485184099199</v>
      </c>
      <c r="G71">
        <v>0.19651921107767961</v>
      </c>
      <c r="H71">
        <v>0.200715095162082</v>
      </c>
      <c r="I71">
        <v>0.20501058383000512</v>
      </c>
      <c r="J71">
        <v>0.20939478190685817</v>
      </c>
      <c r="K71">
        <v>0.31057288109952025</v>
      </c>
      <c r="L71">
        <v>0.31507789847903755</v>
      </c>
      <c r="M71">
        <v>0.31963266957248482</v>
      </c>
      <c r="N71">
        <v>0.32423290488594564</v>
      </c>
      <c r="O71">
        <v>0.32887466449347019</v>
      </c>
      <c r="P71">
        <v>0.33355433716167793</v>
      </c>
      <c r="Q71">
        <v>0.33826861873434638</v>
      </c>
      <c r="R71">
        <v>0.34301449039574189</v>
      </c>
      <c r="S71">
        <v>0.34539840187492837</v>
      </c>
      <c r="T71">
        <v>0.26600000000000018</v>
      </c>
      <c r="U71">
        <v>0.2</v>
      </c>
      <c r="V71">
        <v>0.2</v>
      </c>
      <c r="X71">
        <v>0.63120651058250399</v>
      </c>
      <c r="Y71">
        <v>0.55596712858030473</v>
      </c>
      <c r="Z71">
        <v>0.73684081081515873</v>
      </c>
      <c r="AA71">
        <v>0.74264167286655125</v>
      </c>
      <c r="AB71">
        <v>1.0688239424261634</v>
      </c>
      <c r="AC71">
        <v>1.8052380995502628</v>
      </c>
      <c r="AD71">
        <v>3.3616175876238716</v>
      </c>
      <c r="AE71">
        <v>6.267242326533224</v>
      </c>
      <c r="AF71">
        <v>9.3901614457137725</v>
      </c>
      <c r="AG71">
        <v>9.525544887486868</v>
      </c>
      <c r="AH71">
        <v>9.6568668051459152</v>
      </c>
      <c r="AI71">
        <v>9.7756279311913321</v>
      </c>
      <c r="AJ71">
        <v>9.8506659189297316</v>
      </c>
      <c r="AK71">
        <v>9.7527716665000739</v>
      </c>
      <c r="AL71">
        <v>8.9101181222860628</v>
      </c>
      <c r="AM71">
        <v>8.6668250123713371</v>
      </c>
      <c r="AN71">
        <v>8.6450429291850526</v>
      </c>
      <c r="AO71">
        <v>6.6504407581605696</v>
      </c>
      <c r="AP71">
        <v>5</v>
      </c>
      <c r="AQ71">
        <v>5</v>
      </c>
      <c r="AS71">
        <v>0.33464043203122873</v>
      </c>
      <c r="AT71">
        <v>0.41783313917754566</v>
      </c>
      <c r="AU71">
        <v>0.45509322200541646</v>
      </c>
      <c r="AV71">
        <v>0.27262266418485726</v>
      </c>
      <c r="AW71">
        <v>0.32071856085390321</v>
      </c>
      <c r="AX71">
        <v>0.42040410244350085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6.1140858454125313E-2</v>
      </c>
      <c r="BO71">
        <v>5.8992179968786203E-2</v>
      </c>
      <c r="BP71">
        <v>6.0089356544161379E-2</v>
      </c>
      <c r="BQ71">
        <v>3.779586103351508E-2</v>
      </c>
      <c r="BR71">
        <v>3.7800674858096454E-2</v>
      </c>
      <c r="BS71">
        <v>3.7801704235425788E-2</v>
      </c>
    </row>
    <row r="72" spans="1:71" x14ac:dyDescent="0.25">
      <c r="A72">
        <v>70</v>
      </c>
      <c r="B72">
        <v>214</v>
      </c>
      <c r="C72">
        <v>0.20658502230922282</v>
      </c>
      <c r="D72">
        <v>0.14215142838841729</v>
      </c>
      <c r="E72">
        <v>0.14455621453909082</v>
      </c>
      <c r="F72">
        <v>0.18650709189617051</v>
      </c>
      <c r="G72">
        <v>0.1909049365169041</v>
      </c>
      <c r="H72">
        <v>0.19545828918458477</v>
      </c>
      <c r="I72">
        <v>0.20014949343059008</v>
      </c>
      <c r="J72">
        <v>0.20496235294528842</v>
      </c>
      <c r="K72">
        <v>0.30660587888306523</v>
      </c>
      <c r="L72">
        <v>0.31160135891637758</v>
      </c>
      <c r="M72">
        <v>0.31666136964083064</v>
      </c>
      <c r="N72">
        <v>0.3217798149882376</v>
      </c>
      <c r="O72">
        <v>0.32695113808315729</v>
      </c>
      <c r="P72">
        <v>0.33217028779940522</v>
      </c>
      <c r="Q72">
        <v>0.33743268331794141</v>
      </c>
      <c r="R72">
        <v>0.34273417809383011</v>
      </c>
      <c r="S72">
        <v>0.34539840187492837</v>
      </c>
      <c r="T72">
        <v>0.26600000000000018</v>
      </c>
      <c r="U72">
        <v>0.2</v>
      </c>
      <c r="V72">
        <v>0.2</v>
      </c>
      <c r="X72">
        <v>0.69493025220956117</v>
      </c>
      <c r="Y72">
        <v>0.57837462383781746</v>
      </c>
      <c r="Z72">
        <v>0.75637567410527851</v>
      </c>
      <c r="AA72">
        <v>0.75341632376106171</v>
      </c>
      <c r="AB72">
        <v>1.0741680596653227</v>
      </c>
      <c r="AC72">
        <v>1.7962173382517361</v>
      </c>
      <c r="AD72">
        <v>3.2799729793782353</v>
      </c>
      <c r="AE72">
        <v>6.1317096006539655</v>
      </c>
      <c r="AF72">
        <v>9.268667391510645</v>
      </c>
      <c r="AG72">
        <v>9.4192682853166936</v>
      </c>
      <c r="AH72">
        <v>9.5662544020268712</v>
      </c>
      <c r="AI72">
        <v>9.70110338675204</v>
      </c>
      <c r="AJ72">
        <v>9.7927122559900077</v>
      </c>
      <c r="AK72">
        <v>9.7121349271491955</v>
      </c>
      <c r="AL72">
        <v>8.888044732033725</v>
      </c>
      <c r="AM72">
        <v>8.6597366686205142</v>
      </c>
      <c r="AN72">
        <v>8.6450429291850526</v>
      </c>
      <c r="AO72">
        <v>6.6504407581605696</v>
      </c>
      <c r="AP72">
        <v>5</v>
      </c>
      <c r="AQ72">
        <v>5</v>
      </c>
      <c r="AS72">
        <v>0.33738525510228679</v>
      </c>
      <c r="AT72">
        <v>0.42295434168920959</v>
      </c>
      <c r="AU72">
        <v>0.45803471413289382</v>
      </c>
      <c r="AV72">
        <v>0.27968621416413081</v>
      </c>
      <c r="AW72">
        <v>0.32539199482908848</v>
      </c>
      <c r="AX72">
        <v>0.42232565383194726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N72">
        <v>6.6468564698115323E-2</v>
      </c>
      <c r="BO72">
        <v>5.5129550365805129E-2</v>
      </c>
      <c r="BP72">
        <v>5.6441642729927931E-2</v>
      </c>
      <c r="BQ72">
        <v>4.1441601243268483E-2</v>
      </c>
      <c r="BR72">
        <v>4.1450321782745624E-2</v>
      </c>
      <c r="BS72">
        <v>4.1452255837988977E-2</v>
      </c>
    </row>
    <row r="73" spans="1:71" x14ac:dyDescent="0.25">
      <c r="A73">
        <v>71</v>
      </c>
      <c r="B73">
        <v>215</v>
      </c>
      <c r="C73">
        <v>0.20379854200805822</v>
      </c>
      <c r="D73">
        <v>0.13510475559768104</v>
      </c>
      <c r="E73">
        <v>0.13784933285047812</v>
      </c>
      <c r="F73">
        <v>0.1805283225368175</v>
      </c>
      <c r="G73">
        <v>0.18519219620970029</v>
      </c>
      <c r="H73">
        <v>0.19007108299440154</v>
      </c>
      <c r="I73">
        <v>0.19513935353293699</v>
      </c>
      <c r="J73">
        <v>0.20037328997955808</v>
      </c>
      <c r="K73">
        <v>0.30246974238597035</v>
      </c>
      <c r="L73">
        <v>0.30797012036480931</v>
      </c>
      <c r="M73">
        <v>0.31355331802071668</v>
      </c>
      <c r="N73">
        <v>0.31921078083071686</v>
      </c>
      <c r="O73">
        <v>0.32493477600331255</v>
      </c>
      <c r="P73">
        <v>0.33071833908935472</v>
      </c>
      <c r="Q73">
        <v>0.33655521605267386</v>
      </c>
      <c r="R73">
        <v>0.34243980385030665</v>
      </c>
      <c r="S73">
        <v>0.34539840187492837</v>
      </c>
      <c r="T73">
        <v>0.26600000000000018</v>
      </c>
      <c r="U73">
        <v>0.2</v>
      </c>
      <c r="V73">
        <v>0.2</v>
      </c>
      <c r="X73">
        <v>0.75659423159613759</v>
      </c>
      <c r="Y73">
        <v>0.59468824779084917</v>
      </c>
      <c r="Z73">
        <v>0.76941775108187316</v>
      </c>
      <c r="AA73">
        <v>0.76215254116960252</v>
      </c>
      <c r="AB73">
        <v>1.0771216344041608</v>
      </c>
      <c r="AC73">
        <v>1.7840837803366998</v>
      </c>
      <c r="AD73">
        <v>3.1957607321318933</v>
      </c>
      <c r="AE73">
        <v>5.9912777025309927</v>
      </c>
      <c r="AF73">
        <v>9.1419225701111522</v>
      </c>
      <c r="AG73">
        <v>9.3082068288199071</v>
      </c>
      <c r="AH73">
        <v>9.4714302978511409</v>
      </c>
      <c r="AI73">
        <v>9.6230281228109309</v>
      </c>
      <c r="AJ73">
        <v>9.7319442031066572</v>
      </c>
      <c r="AK73">
        <v>9.6694958590583848</v>
      </c>
      <c r="AL73">
        <v>8.8648718084461358</v>
      </c>
      <c r="AM73">
        <v>8.6522924305317339</v>
      </c>
      <c r="AN73">
        <v>8.6450429291850526</v>
      </c>
      <c r="AO73">
        <v>6.6504407581605696</v>
      </c>
      <c r="AP73">
        <v>5</v>
      </c>
      <c r="AQ73">
        <v>5</v>
      </c>
      <c r="AS73">
        <v>0.34208345598595863</v>
      </c>
      <c r="AT73">
        <v>0.42774828361584993</v>
      </c>
      <c r="AU73">
        <v>0.46096361340275194</v>
      </c>
      <c r="AV73">
        <v>0.28610837358289848</v>
      </c>
      <c r="AW73">
        <v>0.33080510682726388</v>
      </c>
      <c r="AX73">
        <v>0.42514560410811597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N73">
        <v>6.6362180270248247E-2</v>
      </c>
      <c r="BO73">
        <v>5.1273911295275053E-2</v>
      </c>
      <c r="BP73">
        <v>5.277146017676862E-2</v>
      </c>
      <c r="BQ73">
        <v>4.0110153745417043E-2</v>
      </c>
      <c r="BR73">
        <v>4.1502225365285146E-2</v>
      </c>
      <c r="BS73">
        <v>4.1596783416404944E-2</v>
      </c>
    </row>
    <row r="74" spans="1:71" x14ac:dyDescent="0.25">
      <c r="A74">
        <v>72</v>
      </c>
      <c r="B74">
        <v>216</v>
      </c>
      <c r="C74">
        <v>0.20095220974013084</v>
      </c>
      <c r="D74">
        <v>0.12816758123778313</v>
      </c>
      <c r="E74">
        <v>0.13116827966323394</v>
      </c>
      <c r="F74">
        <v>0.17453905769665867</v>
      </c>
      <c r="G74">
        <v>0.1794034446696576</v>
      </c>
      <c r="H74">
        <v>0.18456214840718232</v>
      </c>
      <c r="I74">
        <v>0.18997906495148403</v>
      </c>
      <c r="J74">
        <v>0.19562016429128998</v>
      </c>
      <c r="K74">
        <v>0.29814939027502702</v>
      </c>
      <c r="L74">
        <v>0.30416951692054173</v>
      </c>
      <c r="M74">
        <v>0.3102950568762628</v>
      </c>
      <c r="N74">
        <v>0.31651414089362084</v>
      </c>
      <c r="O74">
        <v>0.32281613476651511</v>
      </c>
      <c r="P74">
        <v>0.32919155554746699</v>
      </c>
      <c r="Q74">
        <v>0.3356319780978344</v>
      </c>
      <c r="R74">
        <v>0.34212993837840117</v>
      </c>
      <c r="S74">
        <v>0.34539840187492837</v>
      </c>
      <c r="T74">
        <v>0.26600000000000018</v>
      </c>
      <c r="U74">
        <v>0.2</v>
      </c>
      <c r="V74">
        <v>0.2</v>
      </c>
      <c r="X74">
        <v>0.82229339353004882</v>
      </c>
      <c r="Y74">
        <v>0.60912047805936564</v>
      </c>
      <c r="Z74">
        <v>0.7804297901600471</v>
      </c>
      <c r="AA74">
        <v>0.77157872780684011</v>
      </c>
      <c r="AB74">
        <v>1.0805547979595973</v>
      </c>
      <c r="AC74">
        <v>1.7721230623047743</v>
      </c>
      <c r="AD74">
        <v>3.1089561801709316</v>
      </c>
      <c r="AE74">
        <v>5.8457032621014076</v>
      </c>
      <c r="AF74">
        <v>9.0094509778082905</v>
      </c>
      <c r="AG74">
        <v>9.1919006213743746</v>
      </c>
      <c r="AH74">
        <v>9.3719753028777681</v>
      </c>
      <c r="AI74">
        <v>9.5410417639123821</v>
      </c>
      <c r="AJ74">
        <v>9.6680734851271275</v>
      </c>
      <c r="AK74">
        <v>9.6246489397277539</v>
      </c>
      <c r="AL74">
        <v>8.840486807455683</v>
      </c>
      <c r="AM74">
        <v>8.644456090076531</v>
      </c>
      <c r="AN74">
        <v>8.6450429291850526</v>
      </c>
      <c r="AO74">
        <v>6.6504407581605696</v>
      </c>
      <c r="AP74">
        <v>5</v>
      </c>
      <c r="AQ74">
        <v>5</v>
      </c>
      <c r="AS74">
        <v>0.34839245515690342</v>
      </c>
      <c r="AT74">
        <v>0.42860737105176627</v>
      </c>
      <c r="AU74">
        <v>0.45987787566264382</v>
      </c>
      <c r="AV74">
        <v>0.28884700566158722</v>
      </c>
      <c r="AW74">
        <v>0.33238634749768758</v>
      </c>
      <c r="AX74">
        <v>0.42516305380331426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N74">
        <v>7.2008161104856E-2</v>
      </c>
      <c r="BO74">
        <v>4.7479301786410064E-2</v>
      </c>
      <c r="BP74">
        <v>4.9116576085785131E-2</v>
      </c>
      <c r="BQ74">
        <v>3.8317895728626268E-2</v>
      </c>
      <c r="BR74">
        <v>3.9769531316376582E-2</v>
      </c>
      <c r="BS74">
        <v>4.1309258949150468E-2</v>
      </c>
    </row>
    <row r="75" spans="1:71" x14ac:dyDescent="0.25">
      <c r="A75">
        <v>73</v>
      </c>
      <c r="B75">
        <v>217</v>
      </c>
      <c r="C75">
        <v>0.21431242743356874</v>
      </c>
      <c r="D75">
        <v>0.21431242743356874</v>
      </c>
      <c r="E75">
        <v>0.21431242743356874</v>
      </c>
      <c r="F75">
        <v>0.24908731015293847</v>
      </c>
      <c r="G75">
        <v>0.24908731015293847</v>
      </c>
      <c r="H75">
        <v>0.24908731015293847</v>
      </c>
      <c r="I75">
        <v>0.24908731015293847</v>
      </c>
      <c r="J75">
        <v>0.24908731015293847</v>
      </c>
      <c r="K75">
        <v>0.34539840187492837</v>
      </c>
      <c r="L75">
        <v>0.34539840187492837</v>
      </c>
      <c r="M75">
        <v>0.34539840187492837</v>
      </c>
      <c r="N75">
        <v>0.34539840187492837</v>
      </c>
      <c r="O75">
        <v>0.34539840187492837</v>
      </c>
      <c r="P75">
        <v>0.34539840187492837</v>
      </c>
      <c r="Q75">
        <v>0.34539840187492837</v>
      </c>
      <c r="R75">
        <v>0.34539840187492826</v>
      </c>
      <c r="S75">
        <v>0.34539840187492837</v>
      </c>
      <c r="T75">
        <v>0.26600000000000018</v>
      </c>
      <c r="U75">
        <v>0.2</v>
      </c>
      <c r="V75">
        <v>0.2</v>
      </c>
      <c r="X75">
        <v>1.7709871856884281E-2</v>
      </c>
      <c r="Y75">
        <v>9.9151832721301167E-2</v>
      </c>
      <c r="Z75">
        <v>0.2845999867818092</v>
      </c>
      <c r="AA75">
        <v>0.67222578098669161</v>
      </c>
      <c r="AB75">
        <v>0.99574668116746867</v>
      </c>
      <c r="AC75">
        <v>1.3913939285067392</v>
      </c>
      <c r="AD75">
        <v>2.1987795299502126</v>
      </c>
      <c r="AE75">
        <v>4.1139329969345422</v>
      </c>
      <c r="AF75">
        <v>8.9060264375029448</v>
      </c>
      <c r="AG75">
        <v>10.144413063005478</v>
      </c>
      <c r="AH75">
        <v>10.400216043468438</v>
      </c>
      <c r="AI75">
        <v>10.414035874851656</v>
      </c>
      <c r="AJ75">
        <v>10.354980483102212</v>
      </c>
      <c r="AK75">
        <v>10.121280451596709</v>
      </c>
      <c r="AL75">
        <v>9.138965055501842</v>
      </c>
      <c r="AM75">
        <v>8.7308687903446387</v>
      </c>
      <c r="AN75">
        <v>8.6450429291850526</v>
      </c>
      <c r="AO75">
        <v>6.6504407581605696</v>
      </c>
      <c r="AP75">
        <v>5</v>
      </c>
      <c r="AQ75">
        <v>5</v>
      </c>
      <c r="AS75">
        <v>0.35618628247898337</v>
      </c>
      <c r="AT75">
        <v>0.42988295241147639</v>
      </c>
      <c r="AU75">
        <v>0.45961249305558977</v>
      </c>
      <c r="AV75">
        <v>0.2915769920763791</v>
      </c>
      <c r="AW75">
        <v>0.33408249080779817</v>
      </c>
      <c r="AX75">
        <v>0.42531516163460292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N75">
        <v>7.2697776732203512E-2</v>
      </c>
      <c r="BO75">
        <v>4.4135961594603271E-2</v>
      </c>
      <c r="BP75">
        <v>4.5824335131814761E-2</v>
      </c>
      <c r="BQ75">
        <v>3.6687768498338068E-2</v>
      </c>
      <c r="BR75">
        <v>3.8160922565616102E-2</v>
      </c>
      <c r="BS75">
        <v>3.9753028310558894E-2</v>
      </c>
    </row>
    <row r="76" spans="1:71" x14ac:dyDescent="0.25">
      <c r="A76">
        <v>74</v>
      </c>
      <c r="B76">
        <v>218</v>
      </c>
      <c r="C76">
        <v>0.21157964036094892</v>
      </c>
      <c r="D76">
        <v>0.20679447904559475</v>
      </c>
      <c r="E76">
        <v>0.20731295824476539</v>
      </c>
      <c r="F76">
        <v>0.24271285688495781</v>
      </c>
      <c r="G76">
        <v>0.24322281314639627</v>
      </c>
      <c r="H76">
        <v>0.2437327694078347</v>
      </c>
      <c r="I76">
        <v>0.24424272566927316</v>
      </c>
      <c r="J76">
        <v>0.24475268193071162</v>
      </c>
      <c r="K76">
        <v>0.34162533768210335</v>
      </c>
      <c r="L76">
        <v>0.34212841290781337</v>
      </c>
      <c r="M76">
        <v>0.3426314881335234</v>
      </c>
      <c r="N76">
        <v>0.34313456335923337</v>
      </c>
      <c r="O76">
        <v>0.34363763858494339</v>
      </c>
      <c r="P76">
        <v>0.34414071381065336</v>
      </c>
      <c r="Q76">
        <v>0.34464378903636339</v>
      </c>
      <c r="R76">
        <v>0.34514686426207325</v>
      </c>
      <c r="S76">
        <v>0.34539840187492837</v>
      </c>
      <c r="T76">
        <v>0.26600000000000018</v>
      </c>
      <c r="U76">
        <v>0.2</v>
      </c>
      <c r="V76">
        <v>0.2</v>
      </c>
      <c r="X76">
        <v>0.11177524821619395</v>
      </c>
      <c r="Y76">
        <v>0.20688105591427261</v>
      </c>
      <c r="Z76">
        <v>0.38873620246136947</v>
      </c>
      <c r="AA76">
        <v>0.71284139210823971</v>
      </c>
      <c r="AB76">
        <v>1.0306785615216381</v>
      </c>
      <c r="AC76">
        <v>1.4294342544377829</v>
      </c>
      <c r="AD76">
        <v>2.155166467720381</v>
      </c>
      <c r="AE76">
        <v>4.0410742648781923</v>
      </c>
      <c r="AF76">
        <v>8.8076642677655119</v>
      </c>
      <c r="AG76">
        <v>9.9849859892094255</v>
      </c>
      <c r="AH76">
        <v>9.9650357365863744</v>
      </c>
      <c r="AI76">
        <v>10.032473707164543</v>
      </c>
      <c r="AJ76">
        <v>10.089802627751988</v>
      </c>
      <c r="AK76">
        <v>10.042115479982597</v>
      </c>
      <c r="AL76">
        <v>9.1189548867958834</v>
      </c>
      <c r="AM76">
        <v>8.7245058703211047</v>
      </c>
      <c r="AN76">
        <v>8.6450429291850526</v>
      </c>
      <c r="AO76">
        <v>6.6504407581605696</v>
      </c>
      <c r="AP76">
        <v>5</v>
      </c>
      <c r="AQ76">
        <v>5</v>
      </c>
      <c r="AS76">
        <v>0.3368074930911189</v>
      </c>
      <c r="AT76">
        <v>0.39515451786164607</v>
      </c>
      <c r="AU76">
        <v>0.4229752284531712</v>
      </c>
      <c r="AV76">
        <v>0.28055339775949673</v>
      </c>
      <c r="AW76">
        <v>0.32240442640200356</v>
      </c>
      <c r="AX76">
        <v>0.40397365563113308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N76">
        <v>7.4686586971445215E-2</v>
      </c>
      <c r="BO76">
        <v>7.6605422405183698E-2</v>
      </c>
      <c r="BP76">
        <v>7.7107847961731063E-2</v>
      </c>
      <c r="BQ76">
        <v>4.7246919315506113E-2</v>
      </c>
      <c r="BR76">
        <v>4.7262885473716154E-2</v>
      </c>
      <c r="BS76">
        <v>4.7266213474122319E-2</v>
      </c>
    </row>
    <row r="77" spans="1:71" x14ac:dyDescent="0.25">
      <c r="A77">
        <v>75</v>
      </c>
      <c r="B77">
        <v>219</v>
      </c>
      <c r="C77">
        <v>0.20741999200986427</v>
      </c>
      <c r="D77">
        <v>0.19886747874136518</v>
      </c>
      <c r="E77">
        <v>0.19992895930196175</v>
      </c>
      <c r="F77">
        <v>0.23599649877369616</v>
      </c>
      <c r="G77">
        <v>0.23703932168828221</v>
      </c>
      <c r="H77">
        <v>0.2380829742861619</v>
      </c>
      <c r="I77">
        <v>0.23912743940039397</v>
      </c>
      <c r="J77">
        <v>0.24017270022913773</v>
      </c>
      <c r="K77">
        <v>0.33763238369208642</v>
      </c>
      <c r="L77">
        <v>0.33866561676794954</v>
      </c>
      <c r="M77">
        <v>0.33969955817908165</v>
      </c>
      <c r="N77">
        <v>0.34073419663329318</v>
      </c>
      <c r="O77">
        <v>0.34176952102078695</v>
      </c>
      <c r="P77">
        <v>0.34280552041106338</v>
      </c>
      <c r="Q77">
        <v>0.34384218404988265</v>
      </c>
      <c r="R77">
        <v>0.34487950135628054</v>
      </c>
      <c r="S77">
        <v>0.34539840187492837</v>
      </c>
      <c r="T77">
        <v>0.26600000000000018</v>
      </c>
      <c r="U77">
        <v>0.2</v>
      </c>
      <c r="V77">
        <v>0.2</v>
      </c>
      <c r="X77">
        <v>0.19080245177235855</v>
      </c>
      <c r="Y77">
        <v>0.28440525418108625</v>
      </c>
      <c r="Z77">
        <v>0.46214699430165385</v>
      </c>
      <c r="AA77">
        <v>0.74100579091148677</v>
      </c>
      <c r="AB77">
        <v>1.0528561270692478</v>
      </c>
      <c r="AC77">
        <v>1.4512694175733558</v>
      </c>
      <c r="AD77">
        <v>2.10906429949108</v>
      </c>
      <c r="AE77">
        <v>3.9640128579398279</v>
      </c>
      <c r="AF77">
        <v>8.7035018713859724</v>
      </c>
      <c r="AG77">
        <v>9.8828912703241603</v>
      </c>
      <c r="AH77">
        <v>9.8790280098475094</v>
      </c>
      <c r="AI77">
        <v>9.961798041782286</v>
      </c>
      <c r="AJ77">
        <v>10.00944835933994</v>
      </c>
      <c r="AK77">
        <v>10.001448810206334</v>
      </c>
      <c r="AL77">
        <v>9.0976957160255871</v>
      </c>
      <c r="AM77">
        <v>8.7177423218007615</v>
      </c>
      <c r="AN77">
        <v>8.6450429291850526</v>
      </c>
      <c r="AO77">
        <v>6.6504407581605696</v>
      </c>
      <c r="AP77">
        <v>5</v>
      </c>
      <c r="AQ77">
        <v>5</v>
      </c>
      <c r="AS77">
        <v>0.32585587983749342</v>
      </c>
      <c r="AT77">
        <v>0.37808745660315957</v>
      </c>
      <c r="AU77">
        <v>0.40411012093809151</v>
      </c>
      <c r="AV77">
        <v>0.27428676364903931</v>
      </c>
      <c r="AW77">
        <v>0.31553108113040262</v>
      </c>
      <c r="AX77">
        <v>0.39040939283226689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N77">
        <v>6.8075590302539069E-2</v>
      </c>
      <c r="BO77">
        <v>6.8703564244952317E-2</v>
      </c>
      <c r="BP77">
        <v>6.8902922606372888E-2</v>
      </c>
      <c r="BQ77">
        <v>4.2184921878626845E-2</v>
      </c>
      <c r="BR77">
        <v>4.2190865225201594E-2</v>
      </c>
      <c r="BS77">
        <v>4.2191892384494431E-2</v>
      </c>
    </row>
    <row r="78" spans="1:71" x14ac:dyDescent="0.25">
      <c r="A78">
        <v>76</v>
      </c>
      <c r="B78">
        <v>220</v>
      </c>
      <c r="C78">
        <v>0.2050426986453566</v>
      </c>
      <c r="D78">
        <v>0.19233115567083084</v>
      </c>
      <c r="E78">
        <v>0.19383400953065016</v>
      </c>
      <c r="F78">
        <v>0.23049046834607559</v>
      </c>
      <c r="G78">
        <v>0.23196287496596812</v>
      </c>
      <c r="H78">
        <v>0.23343829114114245</v>
      </c>
      <c r="I78">
        <v>0.23491661031334002</v>
      </c>
      <c r="J78">
        <v>0.23639772995590533</v>
      </c>
      <c r="K78">
        <v>0.33434482877319771</v>
      </c>
      <c r="L78">
        <v>0.33581142475672426</v>
      </c>
      <c r="M78">
        <v>0.33728035126235451</v>
      </c>
      <c r="N78">
        <v>0.33875154586398404</v>
      </c>
      <c r="O78">
        <v>0.34022494788969393</v>
      </c>
      <c r="P78">
        <v>0.34170049837074501</v>
      </c>
      <c r="Q78">
        <v>0.34317813999205238</v>
      </c>
      <c r="R78">
        <v>0.34465781704409804</v>
      </c>
      <c r="S78">
        <v>0.34539840187492837</v>
      </c>
      <c r="T78">
        <v>0.26600000000000018</v>
      </c>
      <c r="U78">
        <v>0.2</v>
      </c>
      <c r="V78">
        <v>0.2</v>
      </c>
      <c r="X78">
        <v>0.248262289484427</v>
      </c>
      <c r="Y78">
        <v>0.33403690382296453</v>
      </c>
      <c r="Z78">
        <v>0.50818880451505788</v>
      </c>
      <c r="AA78">
        <v>0.75855350754676709</v>
      </c>
      <c r="AB78">
        <v>1.0656164368361809</v>
      </c>
      <c r="AC78">
        <v>1.4624045269541122</v>
      </c>
      <c r="AD78">
        <v>2.0712597811689468</v>
      </c>
      <c r="AE78">
        <v>3.9007126278393738</v>
      </c>
      <c r="AF78">
        <v>8.6179218416489434</v>
      </c>
      <c r="AG78">
        <v>9.798892730572268</v>
      </c>
      <c r="AH78">
        <v>9.8081688186657061</v>
      </c>
      <c r="AI78">
        <v>9.9034934619437838</v>
      </c>
      <c r="AJ78">
        <v>9.9640068798458721</v>
      </c>
      <c r="AK78">
        <v>9.9691052186017259</v>
      </c>
      <c r="AL78">
        <v>9.0800918244131577</v>
      </c>
      <c r="AM78">
        <v>8.7121350597140719</v>
      </c>
      <c r="AN78">
        <v>8.6450429291850526</v>
      </c>
      <c r="AO78">
        <v>6.6504407581605696</v>
      </c>
      <c r="AP78">
        <v>5</v>
      </c>
      <c r="AQ78">
        <v>5</v>
      </c>
      <c r="AS78">
        <v>0.32194272710690086</v>
      </c>
      <c r="AT78">
        <v>0.37222846035945706</v>
      </c>
      <c r="AU78">
        <v>0.39699041954108061</v>
      </c>
      <c r="AV78">
        <v>0.27174502267637318</v>
      </c>
      <c r="AW78">
        <v>0.31243661334151862</v>
      </c>
      <c r="AX78">
        <v>0.38310564724713325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N78">
        <v>5.3546684981475877E-2</v>
      </c>
      <c r="BO78">
        <v>5.3438090169463062E-2</v>
      </c>
      <c r="BP78">
        <v>5.3453938003911301E-2</v>
      </c>
      <c r="BQ78">
        <v>3.2707360284192896E-2</v>
      </c>
      <c r="BR78">
        <v>3.2707322370603885E-2</v>
      </c>
      <c r="BS78">
        <v>3.2707031835060046E-2</v>
      </c>
    </row>
    <row r="79" spans="1:71" x14ac:dyDescent="0.25">
      <c r="A79">
        <v>77</v>
      </c>
      <c r="B79">
        <v>221</v>
      </c>
      <c r="C79">
        <v>0.20094930096172148</v>
      </c>
      <c r="D79">
        <v>0.18466435108922255</v>
      </c>
      <c r="E79">
        <v>0.18667987862817567</v>
      </c>
      <c r="F79">
        <v>0.22401858807742958</v>
      </c>
      <c r="G79">
        <v>0.22599080869440666</v>
      </c>
      <c r="H79">
        <v>0.2279698157357008</v>
      </c>
      <c r="I79">
        <v>0.22995528940525992</v>
      </c>
      <c r="J79">
        <v>0.23194692559430763</v>
      </c>
      <c r="K79">
        <v>0.33045563205128331</v>
      </c>
      <c r="L79">
        <v>0.33243323204799397</v>
      </c>
      <c r="M79">
        <v>0.33441567955895923</v>
      </c>
      <c r="N79">
        <v>0.33640280236900977</v>
      </c>
      <c r="O79">
        <v>0.33839443453383955</v>
      </c>
      <c r="P79">
        <v>0.34039041615837251</v>
      </c>
      <c r="Q79">
        <v>0.34239059318165088</v>
      </c>
      <c r="R79">
        <v>0.34439481716819687</v>
      </c>
      <c r="S79">
        <v>0.34539840187492837</v>
      </c>
      <c r="T79">
        <v>0.26600000000000018</v>
      </c>
      <c r="U79">
        <v>0.2</v>
      </c>
      <c r="V79">
        <v>0.2</v>
      </c>
      <c r="X79">
        <v>0.30866785795578383</v>
      </c>
      <c r="Y79">
        <v>0.38102933318171378</v>
      </c>
      <c r="Z79">
        <v>0.55106977592178086</v>
      </c>
      <c r="AA79">
        <v>0.7738650275495722</v>
      </c>
      <c r="AB79">
        <v>1.0756356119149511</v>
      </c>
      <c r="AC79">
        <v>1.4697909197931873</v>
      </c>
      <c r="AD79">
        <v>2.0265720312808861</v>
      </c>
      <c r="AE79">
        <v>3.8258622769117094</v>
      </c>
      <c r="AF79">
        <v>8.5164958403179867</v>
      </c>
      <c r="AG79">
        <v>9.6993161997539818</v>
      </c>
      <c r="AH79">
        <v>9.724150079729748</v>
      </c>
      <c r="AI79">
        <v>9.8343478850269026</v>
      </c>
      <c r="AJ79">
        <v>9.9101075073679876</v>
      </c>
      <c r="AK79">
        <v>9.930736490223417</v>
      </c>
      <c r="AL79">
        <v>9.0592063284419666</v>
      </c>
      <c r="AM79">
        <v>8.7054819676078097</v>
      </c>
      <c r="AN79">
        <v>8.6450429291850526</v>
      </c>
      <c r="AO79">
        <v>6.6504407581605696</v>
      </c>
      <c r="AP79">
        <v>5</v>
      </c>
      <c r="AQ79">
        <v>5</v>
      </c>
      <c r="AS79">
        <v>0.32070138453914426</v>
      </c>
      <c r="AT79">
        <v>0.37054275846985224</v>
      </c>
      <c r="AU79">
        <v>0.39385891621782732</v>
      </c>
      <c r="AV79">
        <v>0.27076266270053206</v>
      </c>
      <c r="AW79">
        <v>0.31050206463201768</v>
      </c>
      <c r="AX79">
        <v>0.37688420463908084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N79">
        <v>5.9164225903600355E-2</v>
      </c>
      <c r="BO79">
        <v>5.91751089382824E-2</v>
      </c>
      <c r="BP79">
        <v>5.9224781959766715E-2</v>
      </c>
      <c r="BQ79">
        <v>3.6243714173280192E-2</v>
      </c>
      <c r="BR79">
        <v>3.6244762693469941E-2</v>
      </c>
      <c r="BS79">
        <v>3.6244696041435792E-2</v>
      </c>
    </row>
    <row r="80" spans="1:71" x14ac:dyDescent="0.25">
      <c r="A80">
        <v>78</v>
      </c>
      <c r="B80">
        <v>222</v>
      </c>
      <c r="C80">
        <v>0.19809372611458939</v>
      </c>
      <c r="D80">
        <v>0.1775865052267375</v>
      </c>
      <c r="E80">
        <v>0.18006307526491314</v>
      </c>
      <c r="F80">
        <v>0.21806338130795758</v>
      </c>
      <c r="G80">
        <v>0.22048311846480551</v>
      </c>
      <c r="H80">
        <v>0.22291609895189607</v>
      </c>
      <c r="I80">
        <v>0.22536152089351427</v>
      </c>
      <c r="J80">
        <v>0.22781863253665202</v>
      </c>
      <c r="K80">
        <v>0.32684305560430627</v>
      </c>
      <c r="L80">
        <v>0.32929129411124913</v>
      </c>
      <c r="M80">
        <v>0.33174815456211781</v>
      </c>
      <c r="N80">
        <v>0.33421324559731197</v>
      </c>
      <c r="O80">
        <v>0.33668619404577577</v>
      </c>
      <c r="P80">
        <v>0.33916664411984576</v>
      </c>
      <c r="Q80">
        <v>0.34165425663741644</v>
      </c>
      <c r="R80">
        <v>0.34414870827166399</v>
      </c>
      <c r="S80">
        <v>0.34539840187492837</v>
      </c>
      <c r="T80">
        <v>0.26600000000000018</v>
      </c>
      <c r="U80">
        <v>0.2</v>
      </c>
      <c r="V80">
        <v>0.2</v>
      </c>
      <c r="X80">
        <v>0.36074254681180562</v>
      </c>
      <c r="Y80">
        <v>0.41700935721216192</v>
      </c>
      <c r="Z80">
        <v>0.58331977288294767</v>
      </c>
      <c r="AA80">
        <v>0.78465271860400165</v>
      </c>
      <c r="AB80">
        <v>1.0815606721186863</v>
      </c>
      <c r="AC80">
        <v>1.4725292742170177</v>
      </c>
      <c r="AD80">
        <v>1.985262393561138</v>
      </c>
      <c r="AE80">
        <v>3.7565339673636307</v>
      </c>
      <c r="AF80">
        <v>8.4223635289350032</v>
      </c>
      <c r="AG80">
        <v>9.6067700253683483</v>
      </c>
      <c r="AH80">
        <v>9.6459600037519184</v>
      </c>
      <c r="AI80">
        <v>9.769919370326928</v>
      </c>
      <c r="AJ80">
        <v>9.8598267201407896</v>
      </c>
      <c r="AK80">
        <v>9.8949046717076232</v>
      </c>
      <c r="AL80">
        <v>9.0396818397174759</v>
      </c>
      <c r="AM80">
        <v>8.6992564711600835</v>
      </c>
      <c r="AN80">
        <v>8.6450429291850526</v>
      </c>
      <c r="AO80">
        <v>6.6504407581605696</v>
      </c>
      <c r="AP80">
        <v>5</v>
      </c>
      <c r="AQ80">
        <v>5</v>
      </c>
      <c r="AS80">
        <v>0.32228811408290853</v>
      </c>
      <c r="AT80">
        <v>0.37300962079908401</v>
      </c>
      <c r="AU80">
        <v>0.39502237482704733</v>
      </c>
      <c r="AV80">
        <v>0.27167998912436669</v>
      </c>
      <c r="AW80">
        <v>0.31054683558270846</v>
      </c>
      <c r="AX80">
        <v>0.37366344261204187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N80">
        <v>5.3661418399786054E-2</v>
      </c>
      <c r="BO80">
        <v>5.3633101584211383E-2</v>
      </c>
      <c r="BP80">
        <v>5.3663694778769928E-2</v>
      </c>
      <c r="BQ80">
        <v>3.2838901686968069E-2</v>
      </c>
      <c r="BR80">
        <v>3.2839315728142443E-2</v>
      </c>
      <c r="BS80">
        <v>3.2839129400924691E-2</v>
      </c>
    </row>
    <row r="81" spans="1:71" x14ac:dyDescent="0.25">
      <c r="A81">
        <v>79</v>
      </c>
      <c r="B81">
        <v>223</v>
      </c>
      <c r="C81">
        <v>0.19567111037641147</v>
      </c>
      <c r="D81">
        <v>0.17100735378586279</v>
      </c>
      <c r="E81">
        <v>0.17389621594429008</v>
      </c>
      <c r="F81">
        <v>0.21254320601127091</v>
      </c>
      <c r="G81">
        <v>0.21536232753807749</v>
      </c>
      <c r="H81">
        <v>0.21820460911427608</v>
      </c>
      <c r="I81">
        <v>0.2210683566162269</v>
      </c>
      <c r="J81">
        <v>0.22395200076944585</v>
      </c>
      <c r="K81">
        <v>0.32345198349698123</v>
      </c>
      <c r="L81">
        <v>0.32633763090831486</v>
      </c>
      <c r="M81">
        <v>0.32923705616402604</v>
      </c>
      <c r="N81">
        <v>0.33214950258565673</v>
      </c>
      <c r="O81">
        <v>0.33507425559830201</v>
      </c>
      <c r="P81">
        <v>0.33801064057546631</v>
      </c>
      <c r="Q81">
        <v>0.34095802075509707</v>
      </c>
      <c r="R81">
        <v>0.34391579523113269</v>
      </c>
      <c r="S81">
        <v>0.34539840187492837</v>
      </c>
      <c r="T81">
        <v>0.26600000000000018</v>
      </c>
      <c r="U81">
        <v>0.2</v>
      </c>
      <c r="V81">
        <v>0.2</v>
      </c>
      <c r="X81">
        <v>0.41658822244208177</v>
      </c>
      <c r="Y81">
        <v>0.45499834021828828</v>
      </c>
      <c r="Z81">
        <v>0.61829830128031849</v>
      </c>
      <c r="AA81">
        <v>0.79880068840387108</v>
      </c>
      <c r="AB81">
        <v>1.0913612556956316</v>
      </c>
      <c r="AC81">
        <v>1.4793694442478018</v>
      </c>
      <c r="AD81">
        <v>1.9467084470826073</v>
      </c>
      <c r="AE81">
        <v>3.6916757230840869</v>
      </c>
      <c r="AF81">
        <v>8.3340634303177694</v>
      </c>
      <c r="AG81">
        <v>9.5198197001974378</v>
      </c>
      <c r="AH81">
        <v>9.5723900508563027</v>
      </c>
      <c r="AI81">
        <v>9.7092159742116557</v>
      </c>
      <c r="AJ81">
        <v>9.8123941480762937</v>
      </c>
      <c r="AK81">
        <v>9.8610638883159627</v>
      </c>
      <c r="AL81">
        <v>9.0212228199014177</v>
      </c>
      <c r="AM81">
        <v>8.6933649991685229</v>
      </c>
      <c r="AN81">
        <v>8.6450429291850526</v>
      </c>
      <c r="AO81">
        <v>6.6504407581605696</v>
      </c>
      <c r="AP81">
        <v>5</v>
      </c>
      <c r="AQ81">
        <v>5</v>
      </c>
      <c r="AS81">
        <v>0.32532702983991779</v>
      </c>
      <c r="AT81">
        <v>0.378429773227974</v>
      </c>
      <c r="AU81">
        <v>0.39897857017799565</v>
      </c>
      <c r="AV81">
        <v>0.27365705113236277</v>
      </c>
      <c r="AW81">
        <v>0.31153832374037371</v>
      </c>
      <c r="AX81">
        <v>0.3715380916228494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N81">
        <v>5.8884591387285364E-2</v>
      </c>
      <c r="BO81">
        <v>5.9452701121648459E-2</v>
      </c>
      <c r="BP81">
        <v>5.9620918435035773E-2</v>
      </c>
      <c r="BQ81">
        <v>3.6504043845004865E-2</v>
      </c>
      <c r="BR81">
        <v>3.6508946825088026E-2</v>
      </c>
      <c r="BS81">
        <v>3.6509778548785184E-2</v>
      </c>
    </row>
    <row r="82" spans="1:71" x14ac:dyDescent="0.25">
      <c r="A82">
        <v>80</v>
      </c>
      <c r="B82">
        <v>224</v>
      </c>
      <c r="C82">
        <v>0.1931883094255035</v>
      </c>
      <c r="D82">
        <v>0.164313030671979</v>
      </c>
      <c r="E82">
        <v>0.1676038214166238</v>
      </c>
      <c r="F82">
        <v>0.20692375418368594</v>
      </c>
      <c r="G82">
        <v>0.2101343242332839</v>
      </c>
      <c r="H82">
        <v>0.21338227846573657</v>
      </c>
      <c r="I82">
        <v>0.21666446462414315</v>
      </c>
      <c r="J82">
        <v>0.21997798874547497</v>
      </c>
      <c r="K82">
        <v>0.319955309282968</v>
      </c>
      <c r="L82">
        <v>0.32328852717909723</v>
      </c>
      <c r="M82">
        <v>0.3266421867339378</v>
      </c>
      <c r="N82">
        <v>0.33001498277538627</v>
      </c>
      <c r="O82">
        <v>0.33340569327531061</v>
      </c>
      <c r="P82">
        <v>0.33681317468943889</v>
      </c>
      <c r="Q82">
        <v>0.34023635742029579</v>
      </c>
      <c r="R82">
        <v>0.3436742414279978</v>
      </c>
      <c r="S82">
        <v>0.34539840187492837</v>
      </c>
      <c r="T82">
        <v>0.26600000000000018</v>
      </c>
      <c r="U82">
        <v>0.2</v>
      </c>
      <c r="V82">
        <v>0.2</v>
      </c>
      <c r="X82">
        <v>0.47570373773014907</v>
      </c>
      <c r="Y82">
        <v>0.49285636906611746</v>
      </c>
      <c r="Z82">
        <v>0.65340739901700784</v>
      </c>
      <c r="AA82">
        <v>0.8139506612675993</v>
      </c>
      <c r="AB82">
        <v>1.1021449025872507</v>
      </c>
      <c r="AC82">
        <v>1.4868017701811955</v>
      </c>
      <c r="AD82">
        <v>1.9071399199782619</v>
      </c>
      <c r="AE82">
        <v>3.6249837608754847</v>
      </c>
      <c r="AF82">
        <v>8.2429835080622205</v>
      </c>
      <c r="AG82">
        <v>9.4300332855583857</v>
      </c>
      <c r="AH82">
        <v>9.4963462839313646</v>
      </c>
      <c r="AI82">
        <v>9.6464172683321276</v>
      </c>
      <c r="AJ82">
        <v>9.7632870347184486</v>
      </c>
      <c r="AK82">
        <v>9.8260050233618728</v>
      </c>
      <c r="AL82">
        <v>9.0020882224305403</v>
      </c>
      <c r="AM82">
        <v>8.6872548078173661</v>
      </c>
      <c r="AN82">
        <v>8.6450429291850526</v>
      </c>
      <c r="AO82">
        <v>6.6504407581605696</v>
      </c>
      <c r="AP82">
        <v>5</v>
      </c>
      <c r="AQ82">
        <v>5</v>
      </c>
      <c r="AS82">
        <v>0.32988360465587135</v>
      </c>
      <c r="AT82">
        <v>0.38693910356598382</v>
      </c>
      <c r="AU82">
        <v>0.40588649640961344</v>
      </c>
      <c r="AV82">
        <v>0.27677323932252235</v>
      </c>
      <c r="AW82">
        <v>0.31357169984527261</v>
      </c>
      <c r="AX82">
        <v>0.37064415669555567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6.3672090104020876E-2</v>
      </c>
      <c r="BO82">
        <v>6.4904573752726596E-2</v>
      </c>
      <c r="BP82">
        <v>6.5229960371293888E-2</v>
      </c>
      <c r="BQ82">
        <v>3.9959281817309213E-2</v>
      </c>
      <c r="BR82">
        <v>3.9969370773677293E-2</v>
      </c>
      <c r="BS82">
        <v>3.9971385830244385E-2</v>
      </c>
    </row>
    <row r="83" spans="1:71" x14ac:dyDescent="0.25">
      <c r="A83">
        <v>81</v>
      </c>
      <c r="B83">
        <v>225</v>
      </c>
      <c r="C83">
        <v>0.19074514652555077</v>
      </c>
      <c r="D83">
        <v>0.15779280843566368</v>
      </c>
      <c r="E83">
        <v>0.16144811126654299</v>
      </c>
      <c r="F83">
        <v>0.20144719997424004</v>
      </c>
      <c r="G83">
        <v>0.20501714326928014</v>
      </c>
      <c r="H83">
        <v>0.20864451688083988</v>
      </c>
      <c r="I83">
        <v>0.21232388169606858</v>
      </c>
      <c r="J83">
        <v>0.21605027843020241</v>
      </c>
      <c r="K83">
        <v>0.31648586994786793</v>
      </c>
      <c r="L83">
        <v>0.32025846833639976</v>
      </c>
      <c r="M83">
        <v>0.32405997584581292</v>
      </c>
      <c r="N83">
        <v>0.32788829236908085</v>
      </c>
      <c r="O83">
        <v>0.3317414679566118</v>
      </c>
      <c r="P83">
        <v>0.33561769375927336</v>
      </c>
      <c r="Q83">
        <v>0.33951529312414613</v>
      </c>
      <c r="R83">
        <v>0.34343271293432193</v>
      </c>
      <c r="S83">
        <v>0.34539840187492837</v>
      </c>
      <c r="T83">
        <v>0.26600000000000018</v>
      </c>
      <c r="U83">
        <v>0.2</v>
      </c>
      <c r="V83">
        <v>0.2</v>
      </c>
      <c r="X83">
        <v>0.53777966242680186</v>
      </c>
      <c r="Y83">
        <v>0.52941214792808222</v>
      </c>
      <c r="Z83">
        <v>0.68764309970909288</v>
      </c>
      <c r="AA83">
        <v>0.83013065338454972</v>
      </c>
      <c r="AB83">
        <v>1.1140916419513549</v>
      </c>
      <c r="AC83">
        <v>1.4951779479899767</v>
      </c>
      <c r="AD83">
        <v>1.8681518470776501</v>
      </c>
      <c r="AE83">
        <v>3.5590829612387656</v>
      </c>
      <c r="AF83">
        <v>8.1526207654027676</v>
      </c>
      <c r="AG83">
        <v>9.3408129883020319</v>
      </c>
      <c r="AH83">
        <v>9.4206764369909344</v>
      </c>
      <c r="AI83">
        <v>9.5838504016972905</v>
      </c>
      <c r="AJ83">
        <v>9.7143082031693346</v>
      </c>
      <c r="AK83">
        <v>9.7910044800545073</v>
      </c>
      <c r="AL83">
        <v>8.9829695419485667</v>
      </c>
      <c r="AM83">
        <v>8.6811452571284313</v>
      </c>
      <c r="AN83">
        <v>8.6450429291850526</v>
      </c>
      <c r="AO83">
        <v>6.6504407581605696</v>
      </c>
      <c r="AP83">
        <v>5</v>
      </c>
      <c r="AQ83">
        <v>5</v>
      </c>
      <c r="AS83">
        <v>0.33591325541639261</v>
      </c>
      <c r="AT83">
        <v>0.39361218430437267</v>
      </c>
      <c r="AU83">
        <v>0.41232350750030039</v>
      </c>
      <c r="AV83">
        <v>0.28100815323847778</v>
      </c>
      <c r="AW83">
        <v>0.31666783294134032</v>
      </c>
      <c r="AX83">
        <v>0.37106059825485355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6.8105575457174022E-2</v>
      </c>
      <c r="BO83">
        <v>6.3594382520904019E-2</v>
      </c>
      <c r="BP83">
        <v>6.5585896128585966E-2</v>
      </c>
      <c r="BQ83">
        <v>4.2543011664636449E-2</v>
      </c>
      <c r="BR83">
        <v>4.2552156928571373E-2</v>
      </c>
      <c r="BS83">
        <v>4.2553929832536884E-2</v>
      </c>
    </row>
    <row r="84" spans="1:71" x14ac:dyDescent="0.25">
      <c r="A84">
        <v>82</v>
      </c>
      <c r="B84">
        <v>226</v>
      </c>
      <c r="C84">
        <v>0.18655027155630458</v>
      </c>
      <c r="D84">
        <v>0.15015862110449407</v>
      </c>
      <c r="E84">
        <v>0.15422167812962018</v>
      </c>
      <c r="F84">
        <v>0.19499238331271082</v>
      </c>
      <c r="G84">
        <v>0.1989744676274979</v>
      </c>
      <c r="H84">
        <v>0.20304141616717256</v>
      </c>
      <c r="I84">
        <v>0.20718440934630136</v>
      </c>
      <c r="J84">
        <v>0.21139543497353128</v>
      </c>
      <c r="K84">
        <v>0.31235848271821604</v>
      </c>
      <c r="L84">
        <v>0.31665309066110381</v>
      </c>
      <c r="M84">
        <v>0.32098714314505677</v>
      </c>
      <c r="N84">
        <v>0.32535743448520432</v>
      </c>
      <c r="O84">
        <v>0.32976101197328583</v>
      </c>
      <c r="P84">
        <v>0.33419515977944608</v>
      </c>
      <c r="Q84">
        <v>0.33865738289559577</v>
      </c>
      <c r="R84">
        <v>0.3431453913937052</v>
      </c>
      <c r="S84">
        <v>0.34539840187492837</v>
      </c>
      <c r="T84">
        <v>0.26600000000000018</v>
      </c>
      <c r="U84">
        <v>0.2</v>
      </c>
      <c r="V84">
        <v>0.2</v>
      </c>
      <c r="X84">
        <v>0.59931204820420303</v>
      </c>
      <c r="Y84">
        <v>0.55724966405369225</v>
      </c>
      <c r="Z84">
        <v>0.71284985969427095</v>
      </c>
      <c r="AA84">
        <v>0.84148136349141012</v>
      </c>
      <c r="AB84">
        <v>1.1203139783846421</v>
      </c>
      <c r="AC84">
        <v>1.4964426863276947</v>
      </c>
      <c r="AD84">
        <v>1.8218099683932658</v>
      </c>
      <c r="AE84">
        <v>3.4807133690290453</v>
      </c>
      <c r="AF84">
        <v>8.0448951081947513</v>
      </c>
      <c r="AG84">
        <v>9.2344595068096265</v>
      </c>
      <c r="AH84">
        <v>9.3304916329044154</v>
      </c>
      <c r="AI84">
        <v>9.5093005043346963</v>
      </c>
      <c r="AJ84">
        <v>9.6559666797438872</v>
      </c>
      <c r="AK84">
        <v>9.7493281237041938</v>
      </c>
      <c r="AL84">
        <v>8.9602132642412844</v>
      </c>
      <c r="AM84">
        <v>8.6738763848307006</v>
      </c>
      <c r="AN84">
        <v>8.6450429291850526</v>
      </c>
      <c r="AO84">
        <v>6.6504407581605696</v>
      </c>
      <c r="AP84">
        <v>5</v>
      </c>
      <c r="AQ84">
        <v>5</v>
      </c>
      <c r="AS84">
        <v>0.34403949206239565</v>
      </c>
      <c r="AT84">
        <v>0.39828005709186098</v>
      </c>
      <c r="AU84">
        <v>0.41653035008815342</v>
      </c>
      <c r="AV84">
        <v>0.28644472717790609</v>
      </c>
      <c r="AW84">
        <v>0.32089512543346244</v>
      </c>
      <c r="AX84">
        <v>0.37282223391472835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6.9658622423404218E-2</v>
      </c>
      <c r="BO84">
        <v>5.9421136293778612E-2</v>
      </c>
      <c r="BP84">
        <v>6.1634798337335775E-2</v>
      </c>
      <c r="BQ84">
        <v>4.4267030083956008E-2</v>
      </c>
      <c r="BR84">
        <v>4.4283590175833963E-2</v>
      </c>
      <c r="BS84">
        <v>4.4287082209677996E-2</v>
      </c>
    </row>
    <row r="85" spans="1:71" x14ac:dyDescent="0.25">
      <c r="A85">
        <v>83</v>
      </c>
      <c r="B85">
        <v>227</v>
      </c>
      <c r="C85">
        <v>0.1842930713983896</v>
      </c>
      <c r="D85">
        <v>0.14437795304930043</v>
      </c>
      <c r="E85">
        <v>0.14866533980315075</v>
      </c>
      <c r="F85">
        <v>0.19009422127609452</v>
      </c>
      <c r="G85">
        <v>0.19432448952351725</v>
      </c>
      <c r="H85">
        <v>0.19867895542993994</v>
      </c>
      <c r="I85">
        <v>0.20314351613037315</v>
      </c>
      <c r="J85">
        <v>0.20770539471279664</v>
      </c>
      <c r="K85">
        <v>0.30905849798062446</v>
      </c>
      <c r="L85">
        <v>0.31375785146768631</v>
      </c>
      <c r="M85">
        <v>0.31851009002741837</v>
      </c>
      <c r="N85">
        <v>0.32331041549734862</v>
      </c>
      <c r="O85">
        <v>0.32815444972319396</v>
      </c>
      <c r="P85">
        <v>0.33303820565510173</v>
      </c>
      <c r="Q85">
        <v>0.33795805821979313</v>
      </c>
      <c r="R85">
        <v>0.34291071567360304</v>
      </c>
      <c r="S85">
        <v>0.34539840187492837</v>
      </c>
      <c r="T85">
        <v>0.26600000000000018</v>
      </c>
      <c r="U85">
        <v>0.2</v>
      </c>
      <c r="V85">
        <v>0.2</v>
      </c>
      <c r="X85">
        <v>0.65242221745055939</v>
      </c>
      <c r="Y85">
        <v>0.58016227036450185</v>
      </c>
      <c r="Z85">
        <v>0.73359795918486037</v>
      </c>
      <c r="AA85">
        <v>0.85214755753505944</v>
      </c>
      <c r="AB85">
        <v>1.1268447644871804</v>
      </c>
      <c r="AC85">
        <v>1.4987794815540272</v>
      </c>
      <c r="AD85">
        <v>1.7855708617645012</v>
      </c>
      <c r="AE85">
        <v>3.4188759165856246</v>
      </c>
      <c r="AF85">
        <v>7.9589954120335671</v>
      </c>
      <c r="AG85">
        <v>9.1492473950837301</v>
      </c>
      <c r="AH85">
        <v>9.2579283951545683</v>
      </c>
      <c r="AI85">
        <v>9.4490929831397654</v>
      </c>
      <c r="AJ85">
        <v>9.6086934778448825</v>
      </c>
      <c r="AK85">
        <v>9.7154595609063659</v>
      </c>
      <c r="AL85">
        <v>8.9416722113392026</v>
      </c>
      <c r="AM85">
        <v>8.6679402968239767</v>
      </c>
      <c r="AN85">
        <v>8.6450429291850526</v>
      </c>
      <c r="AO85">
        <v>6.6504407581605696</v>
      </c>
      <c r="AP85">
        <v>5</v>
      </c>
      <c r="AQ85">
        <v>5</v>
      </c>
      <c r="AS85">
        <v>0.35259602807795259</v>
      </c>
      <c r="AT85">
        <v>0.40931659953991323</v>
      </c>
      <c r="AU85">
        <v>0.42773584861564518</v>
      </c>
      <c r="AV85">
        <v>0.29210524553815442</v>
      </c>
      <c r="AW85">
        <v>0.32556887339500545</v>
      </c>
      <c r="AX85">
        <v>0.37564043566338873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6.166670526191325E-2</v>
      </c>
      <c r="BO85">
        <v>5.6260556170647263E-2</v>
      </c>
      <c r="BP85">
        <v>5.8596223674352063E-2</v>
      </c>
      <c r="BQ85">
        <v>3.8009181452692831E-2</v>
      </c>
      <c r="BR85">
        <v>3.801245457809134E-2</v>
      </c>
      <c r="BS85">
        <v>3.8012893023905273E-2</v>
      </c>
    </row>
    <row r="86" spans="1:71" x14ac:dyDescent="0.25">
      <c r="A86">
        <v>84</v>
      </c>
      <c r="B86">
        <v>228</v>
      </c>
      <c r="C86">
        <v>0.18199835149963844</v>
      </c>
      <c r="D86">
        <v>0.13866818625613278</v>
      </c>
      <c r="E86">
        <v>0.14312058882299039</v>
      </c>
      <c r="F86">
        <v>0.1852027278797716</v>
      </c>
      <c r="G86">
        <v>0.18964475720072305</v>
      </c>
      <c r="H86">
        <v>0.19426083354902363</v>
      </c>
      <c r="I86">
        <v>0.19903016557494865</v>
      </c>
      <c r="J86">
        <v>0.20393378334551387</v>
      </c>
      <c r="K86">
        <v>0.30566384448779305</v>
      </c>
      <c r="L86">
        <v>0.31077448419047116</v>
      </c>
      <c r="M86">
        <v>0.31595403889951812</v>
      </c>
      <c r="N86">
        <v>0.32119566246542702</v>
      </c>
      <c r="O86">
        <v>0.32649315535551898</v>
      </c>
      <c r="P86">
        <v>0.33184091930643222</v>
      </c>
      <c r="Q86">
        <v>0.33723391037563982</v>
      </c>
      <c r="R86">
        <v>0.34266759211405989</v>
      </c>
      <c r="S86">
        <v>0.34539840187492837</v>
      </c>
      <c r="T86">
        <v>0.26600000000000018</v>
      </c>
      <c r="U86">
        <v>0.2</v>
      </c>
      <c r="V86">
        <v>0.2</v>
      </c>
      <c r="X86">
        <v>0.70420350525961128</v>
      </c>
      <c r="Y86">
        <v>0.59888973662928469</v>
      </c>
      <c r="Z86">
        <v>0.75003747276233912</v>
      </c>
      <c r="AA86">
        <v>0.86088341733124241</v>
      </c>
      <c r="AB86">
        <v>1.1312507894258106</v>
      </c>
      <c r="AC86">
        <v>1.4985852036944032</v>
      </c>
      <c r="AD86">
        <v>1.7486685214847155</v>
      </c>
      <c r="AE86">
        <v>3.3556462198733494</v>
      </c>
      <c r="AF86">
        <v>7.8706040891403957</v>
      </c>
      <c r="AG86">
        <v>9.0614166152797164</v>
      </c>
      <c r="AH86">
        <v>9.183032253934547</v>
      </c>
      <c r="AI86">
        <v>9.3868801316908286</v>
      </c>
      <c r="AJ86">
        <v>9.5598015850329876</v>
      </c>
      <c r="AK86">
        <v>9.6804060565717105</v>
      </c>
      <c r="AL86">
        <v>8.9224716136064472</v>
      </c>
      <c r="AM86">
        <v>8.6617903703431267</v>
      </c>
      <c r="AN86">
        <v>8.6450429291850526</v>
      </c>
      <c r="AO86">
        <v>6.6504407581605696</v>
      </c>
      <c r="AP86">
        <v>5</v>
      </c>
      <c r="AQ86">
        <v>5</v>
      </c>
      <c r="AS86">
        <v>0.36163224576987196</v>
      </c>
      <c r="AT86">
        <v>0.4198402547236022</v>
      </c>
      <c r="AU86">
        <v>0.43844047842827161</v>
      </c>
      <c r="AV86">
        <v>0.29816400687900269</v>
      </c>
      <c r="AW86">
        <v>0.33065911877807957</v>
      </c>
      <c r="AX86">
        <v>0.37905026413526571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6.0817505500971189E-2</v>
      </c>
      <c r="BO86">
        <v>5.3139738985138206E-2</v>
      </c>
      <c r="BP86">
        <v>5.5565057786039249E-2</v>
      </c>
      <c r="BQ86">
        <v>3.7301169491337237E-2</v>
      </c>
      <c r="BR86">
        <v>3.7302638106291454E-2</v>
      </c>
      <c r="BS86">
        <v>3.7302660716468684E-2</v>
      </c>
    </row>
    <row r="87" spans="1:71" x14ac:dyDescent="0.25">
      <c r="A87">
        <v>85</v>
      </c>
      <c r="B87">
        <v>229</v>
      </c>
      <c r="C87">
        <v>0.17982168876732763</v>
      </c>
      <c r="D87">
        <v>0.13349771324885426</v>
      </c>
      <c r="E87">
        <v>0.13800956621787019</v>
      </c>
      <c r="F87">
        <v>0.18069617471189192</v>
      </c>
      <c r="G87">
        <v>0.18527615960146998</v>
      </c>
      <c r="H87">
        <v>0.1900924508305569</v>
      </c>
      <c r="I87">
        <v>0.19511615413169864</v>
      </c>
      <c r="J87">
        <v>0.20032047367353084</v>
      </c>
      <c r="K87">
        <v>0.30238157487873835</v>
      </c>
      <c r="L87">
        <v>0.30788160191696862</v>
      </c>
      <c r="M87">
        <v>0.31346957810228698</v>
      </c>
      <c r="N87">
        <v>0.31913604838378318</v>
      </c>
      <c r="O87">
        <v>0.32487250789199168</v>
      </c>
      <c r="P87">
        <v>0.33067133601843729</v>
      </c>
      <c r="Q87">
        <v>0.33652572541422043</v>
      </c>
      <c r="R87">
        <v>0.34242960973111025</v>
      </c>
      <c r="S87">
        <v>0.34539840187492837</v>
      </c>
      <c r="T87">
        <v>0.26600000000000018</v>
      </c>
      <c r="U87">
        <v>0.2</v>
      </c>
      <c r="V87">
        <v>0.2</v>
      </c>
      <c r="X87">
        <v>0.75335759970562954</v>
      </c>
      <c r="Y87">
        <v>0.61523241013275387</v>
      </c>
      <c r="Z87">
        <v>0.76408526663670628</v>
      </c>
      <c r="AA87">
        <v>0.86911570652706693</v>
      </c>
      <c r="AB87">
        <v>1.1352070330484771</v>
      </c>
      <c r="AC87">
        <v>1.4978653535020756</v>
      </c>
      <c r="AD87">
        <v>1.7135903977178721</v>
      </c>
      <c r="AE87">
        <v>3.2951182632462994</v>
      </c>
      <c r="AF87">
        <v>7.7851708261611723</v>
      </c>
      <c r="AG87">
        <v>8.9762747577086568</v>
      </c>
      <c r="AH87">
        <v>9.1102504427848707</v>
      </c>
      <c r="AI87">
        <v>9.3262998537816291</v>
      </c>
      <c r="AJ87">
        <v>9.512111898111991</v>
      </c>
      <c r="AK87">
        <v>9.6461664962847564</v>
      </c>
      <c r="AL87">
        <v>8.9036951583810122</v>
      </c>
      <c r="AM87">
        <v>8.6557705827594429</v>
      </c>
      <c r="AN87">
        <v>8.6450429291850526</v>
      </c>
      <c r="AO87">
        <v>6.6504407581605696</v>
      </c>
      <c r="AP87">
        <v>5</v>
      </c>
      <c r="AQ87">
        <v>5</v>
      </c>
      <c r="AS87">
        <v>0.37085904294117794</v>
      </c>
      <c r="AT87">
        <v>0.43061617550434456</v>
      </c>
      <c r="AU87">
        <v>0.44938739066533062</v>
      </c>
      <c r="AV87">
        <v>0.30442250450455821</v>
      </c>
      <c r="AW87">
        <v>0.33599322610444254</v>
      </c>
      <c r="AX87">
        <v>0.38287313117940647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5.838089161732421E-2</v>
      </c>
      <c r="BO87">
        <v>5.0314071886180374E-2</v>
      </c>
      <c r="BP87">
        <v>5.2771465237846586E-2</v>
      </c>
      <c r="BQ87">
        <v>3.596117432534892E-2</v>
      </c>
      <c r="BR87">
        <v>3.5963936441458726E-2</v>
      </c>
      <c r="BS87">
        <v>3.5964272719347684E-2</v>
      </c>
    </row>
    <row r="88" spans="1:71" x14ac:dyDescent="0.25">
      <c r="A88">
        <v>86</v>
      </c>
      <c r="B88">
        <v>230</v>
      </c>
      <c r="C88">
        <v>0.17764775396144378</v>
      </c>
      <c r="D88">
        <v>0.12859364040420887</v>
      </c>
      <c r="E88">
        <v>0.13307209135077819</v>
      </c>
      <c r="F88">
        <v>0.17631778021286271</v>
      </c>
      <c r="G88">
        <v>0.18097988012420413</v>
      </c>
      <c r="H88">
        <v>0.18595287896498844</v>
      </c>
      <c r="I88">
        <v>0.19119903314206724</v>
      </c>
      <c r="J88">
        <v>0.1966823270503254</v>
      </c>
      <c r="K88">
        <v>0.29904697081058018</v>
      </c>
      <c r="L88">
        <v>0.30493606166441173</v>
      </c>
      <c r="M88">
        <v>0.31093536028955798</v>
      </c>
      <c r="N88">
        <v>0.31703217507128378</v>
      </c>
      <c r="O88">
        <v>0.32321515461422423</v>
      </c>
      <c r="P88">
        <v>0.32947419891221458</v>
      </c>
      <c r="Q88">
        <v>0.33580035798632418</v>
      </c>
      <c r="R88">
        <v>0.34218572582732076</v>
      </c>
      <c r="S88">
        <v>0.34539840187492837</v>
      </c>
      <c r="T88">
        <v>0.26600000000000018</v>
      </c>
      <c r="U88">
        <v>0.2</v>
      </c>
      <c r="V88">
        <v>0.2</v>
      </c>
      <c r="X88">
        <v>0.80396333186144775</v>
      </c>
      <c r="Y88">
        <v>0.63100611645730842</v>
      </c>
      <c r="Z88">
        <v>0.77739679264591444</v>
      </c>
      <c r="AA88">
        <v>0.87806222869458139</v>
      </c>
      <c r="AB88">
        <v>1.1397479787870251</v>
      </c>
      <c r="AC88">
        <v>1.4974994737924334</v>
      </c>
      <c r="AD88">
        <v>1.6784838346551603</v>
      </c>
      <c r="AE88">
        <v>3.2341665572019389</v>
      </c>
      <c r="AF88">
        <v>7.6983601748515937</v>
      </c>
      <c r="AG88">
        <v>8.8895681265790838</v>
      </c>
      <c r="AH88">
        <v>9.0359991291709161</v>
      </c>
      <c r="AI88">
        <v>9.2644091218320224</v>
      </c>
      <c r="AJ88">
        <v>9.4633365557192661</v>
      </c>
      <c r="AK88">
        <v>9.6111173668426613</v>
      </c>
      <c r="AL88">
        <v>8.8844621519168854</v>
      </c>
      <c r="AM88">
        <v>8.6496014092355455</v>
      </c>
      <c r="AN88">
        <v>8.6450429291850526</v>
      </c>
      <c r="AO88">
        <v>6.6504407581605696</v>
      </c>
      <c r="AP88">
        <v>5</v>
      </c>
      <c r="AQ88">
        <v>5</v>
      </c>
      <c r="AS88">
        <v>0.38058659714144971</v>
      </c>
      <c r="AT88">
        <v>0.43901439961765726</v>
      </c>
      <c r="AU88">
        <v>0.45779884110647806</v>
      </c>
      <c r="AV88">
        <v>0.31116179299304331</v>
      </c>
      <c r="AW88">
        <v>0.34177554061647769</v>
      </c>
      <c r="AX88">
        <v>0.38716694321572442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6.0333286356090032E-2</v>
      </c>
      <c r="BO88">
        <v>4.763455694252141E-2</v>
      </c>
      <c r="BP88">
        <v>5.0073412383531926E-2</v>
      </c>
      <c r="BQ88">
        <v>3.72680437347278E-2</v>
      </c>
      <c r="BR88">
        <v>3.7271928109059188E-2</v>
      </c>
      <c r="BS88">
        <v>3.7272515697898578E-2</v>
      </c>
    </row>
    <row r="89" spans="1:71" x14ac:dyDescent="0.25">
      <c r="A89">
        <v>87</v>
      </c>
      <c r="B89">
        <v>231</v>
      </c>
      <c r="C89">
        <v>0.21431242743356874</v>
      </c>
      <c r="D89">
        <v>0.21431242743356874</v>
      </c>
      <c r="E89">
        <v>0.21431242743356874</v>
      </c>
      <c r="F89">
        <v>0.24908731015293847</v>
      </c>
      <c r="G89">
        <v>0.24908731015293847</v>
      </c>
      <c r="H89">
        <v>0.24908731015293847</v>
      </c>
      <c r="I89">
        <v>0.24908731015293847</v>
      </c>
      <c r="J89">
        <v>0.24908731015293847</v>
      </c>
      <c r="K89">
        <v>0.34539840187492837</v>
      </c>
      <c r="L89">
        <v>0.34539840187492837</v>
      </c>
      <c r="M89">
        <v>0.34539840187492837</v>
      </c>
      <c r="N89">
        <v>0.34539840187492837</v>
      </c>
      <c r="O89">
        <v>0.34539840187492837</v>
      </c>
      <c r="P89">
        <v>0.34539840187492837</v>
      </c>
      <c r="Q89">
        <v>0.34539840187492837</v>
      </c>
      <c r="R89">
        <v>0.34539840187492837</v>
      </c>
      <c r="S89">
        <v>0.34539840187492837</v>
      </c>
      <c r="T89">
        <v>0.2660000000000004</v>
      </c>
      <c r="U89">
        <v>0.2</v>
      </c>
      <c r="V89">
        <v>0.2</v>
      </c>
      <c r="X89">
        <v>1.9496070558304161E-2</v>
      </c>
      <c r="Y89">
        <v>0.10748236480123159</v>
      </c>
      <c r="Z89">
        <v>0.30268385326783442</v>
      </c>
      <c r="AA89">
        <v>0.70894848873247218</v>
      </c>
      <c r="AB89">
        <v>1.0502868197604305</v>
      </c>
      <c r="AC89">
        <v>1.390914252302351</v>
      </c>
      <c r="AD89">
        <v>1.7380984000104927</v>
      </c>
      <c r="AE89">
        <v>2.5731362950252334</v>
      </c>
      <c r="AF89">
        <v>6.6523381076710484</v>
      </c>
      <c r="AG89">
        <v>9.0860263593224104</v>
      </c>
      <c r="AH89">
        <v>9.8985189114972325</v>
      </c>
      <c r="AI89">
        <v>10.070109544036619</v>
      </c>
      <c r="AJ89">
        <v>10.108378236781471</v>
      </c>
      <c r="AK89">
        <v>10.078758295962107</v>
      </c>
      <c r="AL89">
        <v>9.1758026304803035</v>
      </c>
      <c r="AM89">
        <v>8.7348900186954026</v>
      </c>
      <c r="AN89">
        <v>8.6450429291850526</v>
      </c>
      <c r="AO89">
        <v>6.6504407581605758</v>
      </c>
      <c r="AP89">
        <v>5</v>
      </c>
      <c r="AQ89">
        <v>5</v>
      </c>
      <c r="AS89">
        <v>0.39040813028224708</v>
      </c>
      <c r="AT89">
        <v>0.44781122608743906</v>
      </c>
      <c r="AU89">
        <v>0.4666678851972077</v>
      </c>
      <c r="AV89">
        <v>0.31798754150189545</v>
      </c>
      <c r="AW89">
        <v>0.34769657477081978</v>
      </c>
      <c r="AX89">
        <v>0.39172551310808351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5.836943055486115E-2</v>
      </c>
      <c r="BO89">
        <v>4.5148874743638261E-2</v>
      </c>
      <c r="BP89">
        <v>4.7511219390995445E-2</v>
      </c>
      <c r="BQ89">
        <v>3.5920288819600299E-2</v>
      </c>
      <c r="BR89">
        <v>3.5922736270878768E-2</v>
      </c>
      <c r="BS89">
        <v>3.5922999405457706E-2</v>
      </c>
    </row>
    <row r="90" spans="1:71" x14ac:dyDescent="0.25">
      <c r="A90">
        <v>88</v>
      </c>
      <c r="B90">
        <v>232</v>
      </c>
      <c r="C90">
        <v>0.2131418144892557</v>
      </c>
      <c r="D90">
        <v>0.21113852675717704</v>
      </c>
      <c r="E90">
        <v>0.21135741645899717</v>
      </c>
      <c r="F90">
        <v>0.24645397658096152</v>
      </c>
      <c r="G90">
        <v>0.24666464326671966</v>
      </c>
      <c r="H90">
        <v>0.24687530995247783</v>
      </c>
      <c r="I90">
        <v>0.24708597663823598</v>
      </c>
      <c r="J90">
        <v>0.24729664332399415</v>
      </c>
      <c r="K90">
        <v>0.34386819342543057</v>
      </c>
      <c r="L90">
        <v>0.34407222121869696</v>
      </c>
      <c r="M90">
        <v>0.3442762490119633</v>
      </c>
      <c r="N90">
        <v>0.34448027680522969</v>
      </c>
      <c r="O90">
        <v>0.34468430459849608</v>
      </c>
      <c r="P90">
        <v>0.34488833239176242</v>
      </c>
      <c r="Q90">
        <v>0.34509236018502881</v>
      </c>
      <c r="R90">
        <v>0.34529638797829521</v>
      </c>
      <c r="S90">
        <v>0.34539840187492837</v>
      </c>
      <c r="T90">
        <v>0.2660000000000004</v>
      </c>
      <c r="U90">
        <v>0.2</v>
      </c>
      <c r="V90">
        <v>0.2</v>
      </c>
      <c r="X90">
        <v>9.3074717218783742E-2</v>
      </c>
      <c r="Y90">
        <v>0.18732784729461635</v>
      </c>
      <c r="Z90">
        <v>0.37908013829650256</v>
      </c>
      <c r="AA90">
        <v>0.74531544071930877</v>
      </c>
      <c r="AB90">
        <v>1.0818123213319637</v>
      </c>
      <c r="AC90">
        <v>1.4205793268550282</v>
      </c>
      <c r="AD90">
        <v>1.7240202454056899</v>
      </c>
      <c r="AE90">
        <v>2.5545043000740617</v>
      </c>
      <c r="AF90">
        <v>6.6227353000374833</v>
      </c>
      <c r="AG90">
        <v>9.0510054780752647</v>
      </c>
      <c r="AH90">
        <v>9.8662551367886131</v>
      </c>
      <c r="AI90">
        <v>9.9746924640190073</v>
      </c>
      <c r="AJ90">
        <v>9.9797833448646145</v>
      </c>
      <c r="AK90">
        <v>10.007764589427889</v>
      </c>
      <c r="AL90">
        <v>9.1676651621755525</v>
      </c>
      <c r="AM90">
        <v>8.7323093946330239</v>
      </c>
      <c r="AN90">
        <v>8.6450429291850526</v>
      </c>
      <c r="AO90">
        <v>6.6504407581605758</v>
      </c>
      <c r="AP90">
        <v>5</v>
      </c>
      <c r="AQ90">
        <v>5</v>
      </c>
      <c r="AS90">
        <v>0.37153404796141798</v>
      </c>
      <c r="AT90">
        <v>0.42096897177110087</v>
      </c>
      <c r="AU90">
        <v>0.44067839730687525</v>
      </c>
      <c r="AV90">
        <v>0.3074833197992205</v>
      </c>
      <c r="AW90">
        <v>0.33929337896597772</v>
      </c>
      <c r="AX90">
        <v>0.38303551845218525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5.4704564339650534E-2</v>
      </c>
      <c r="BO90">
        <v>5.4618936856946292E-2</v>
      </c>
      <c r="BP90">
        <v>5.4638652936050636E-2</v>
      </c>
      <c r="BQ90">
        <v>3.3437766735514109E-2</v>
      </c>
      <c r="BR90">
        <v>3.3437911058018903E-2</v>
      </c>
      <c r="BS90">
        <v>3.3437657080008218E-2</v>
      </c>
    </row>
    <row r="91" spans="1:71" x14ac:dyDescent="0.25">
      <c r="A91">
        <v>89</v>
      </c>
      <c r="B91">
        <v>233</v>
      </c>
      <c r="C91">
        <v>0.2110957581313255</v>
      </c>
      <c r="D91">
        <v>0.20576414006929541</v>
      </c>
      <c r="E91">
        <v>0.206352361006162</v>
      </c>
      <c r="F91">
        <v>0.24192589159847663</v>
      </c>
      <c r="G91">
        <v>0.24249722643843905</v>
      </c>
      <c r="H91">
        <v>0.2430688441352081</v>
      </c>
      <c r="I91">
        <v>0.24364074226480362</v>
      </c>
      <c r="J91">
        <v>0.24421291842450654</v>
      </c>
      <c r="K91">
        <v>0.34119495430410068</v>
      </c>
      <c r="L91">
        <v>0.34175459014530879</v>
      </c>
      <c r="M91">
        <v>0.34231448250464253</v>
      </c>
      <c r="N91">
        <v>0.34287462971688315</v>
      </c>
      <c r="O91">
        <v>0.34343503012774318</v>
      </c>
      <c r="P91">
        <v>0.34399568209379139</v>
      </c>
      <c r="Q91">
        <v>0.34455658398237826</v>
      </c>
      <c r="R91">
        <v>0.34511773417156105</v>
      </c>
      <c r="S91">
        <v>0.34539840187492837</v>
      </c>
      <c r="T91">
        <v>0.2660000000000004</v>
      </c>
      <c r="U91">
        <v>0.2</v>
      </c>
      <c r="V91">
        <v>0.2</v>
      </c>
      <c r="X91">
        <v>0.1643987705458507</v>
      </c>
      <c r="Y91">
        <v>0.26053845797088782</v>
      </c>
      <c r="Z91">
        <v>0.4476744637052284</v>
      </c>
      <c r="AA91">
        <v>0.77461673068857428</v>
      </c>
      <c r="AB91">
        <v>1.1048070572691906</v>
      </c>
      <c r="AC91">
        <v>1.4402393869551748</v>
      </c>
      <c r="AD91">
        <v>1.6996415074542621</v>
      </c>
      <c r="AE91">
        <v>2.5222480682301196</v>
      </c>
      <c r="AF91">
        <v>6.5708466221102801</v>
      </c>
      <c r="AG91">
        <v>8.9896254932959092</v>
      </c>
      <c r="AH91">
        <v>9.8097127178456134</v>
      </c>
      <c r="AI91">
        <v>9.9279819916658063</v>
      </c>
      <c r="AJ91">
        <v>9.9434810243012528</v>
      </c>
      <c r="AK91">
        <v>9.981794978447887</v>
      </c>
      <c r="AL91">
        <v>9.1534096899074235</v>
      </c>
      <c r="AM91">
        <v>8.7277890232916988</v>
      </c>
      <c r="AN91">
        <v>8.6450429291850526</v>
      </c>
      <c r="AO91">
        <v>6.6504407581605758</v>
      </c>
      <c r="AP91">
        <v>5</v>
      </c>
      <c r="AQ91">
        <v>5</v>
      </c>
      <c r="AS91">
        <v>0.35674075867376587</v>
      </c>
      <c r="AT91">
        <v>0.39953236060848668</v>
      </c>
      <c r="AU91">
        <v>0.4196252177181794</v>
      </c>
      <c r="AV91">
        <v>0.29896062761669639</v>
      </c>
      <c r="AW91">
        <v>0.33243751217969109</v>
      </c>
      <c r="AX91">
        <v>0.37585951564457237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5.6530764039414864E-2</v>
      </c>
      <c r="BO91">
        <v>5.6666845703623347E-2</v>
      </c>
      <c r="BP91">
        <v>5.6735695879894667E-2</v>
      </c>
      <c r="BQ91">
        <v>3.4728537712710138E-2</v>
      </c>
      <c r="BR91">
        <v>3.4730268892597504E-2</v>
      </c>
      <c r="BS91">
        <v>3.4730374658431588E-2</v>
      </c>
    </row>
    <row r="92" spans="1:71" x14ac:dyDescent="0.25">
      <c r="A92">
        <v>90</v>
      </c>
      <c r="B92">
        <v>234</v>
      </c>
      <c r="C92">
        <v>0.20897252552666584</v>
      </c>
      <c r="D92">
        <v>0.2003078909345227</v>
      </c>
      <c r="E92">
        <v>0.20126839719084288</v>
      </c>
      <c r="F92">
        <v>0.23733203070031253</v>
      </c>
      <c r="G92">
        <v>0.23826614124621609</v>
      </c>
      <c r="H92">
        <v>0.2392014241039053</v>
      </c>
      <c r="I92">
        <v>0.24013785689211523</v>
      </c>
      <c r="J92">
        <v>0.24107541769507829</v>
      </c>
      <c r="K92">
        <v>0.33847080005882368</v>
      </c>
      <c r="L92">
        <v>0.33939132004136091</v>
      </c>
      <c r="M92">
        <v>0.34031283819529401</v>
      </c>
      <c r="N92">
        <v>0.34123534021281565</v>
      </c>
      <c r="O92">
        <v>0.34215881200533238</v>
      </c>
      <c r="P92">
        <v>0.34308323969999832</v>
      </c>
      <c r="Q92">
        <v>0.34400860963630292</v>
      </c>
      <c r="R92">
        <v>0.34493490836271185</v>
      </c>
      <c r="S92">
        <v>0.34539840187492837</v>
      </c>
      <c r="T92">
        <v>0.2660000000000004</v>
      </c>
      <c r="U92">
        <v>0.2</v>
      </c>
      <c r="V92">
        <v>0.2</v>
      </c>
      <c r="X92">
        <v>0.2350106299361204</v>
      </c>
      <c r="Y92">
        <v>0.32774620777487828</v>
      </c>
      <c r="Z92">
        <v>0.5108140229427357</v>
      </c>
      <c r="AA92">
        <v>0.80311375352301073</v>
      </c>
      <c r="AB92">
        <v>1.1273793137409298</v>
      </c>
      <c r="AC92">
        <v>1.459498747066813</v>
      </c>
      <c r="AD92">
        <v>1.6748488760369244</v>
      </c>
      <c r="AE92">
        <v>2.4894220122616906</v>
      </c>
      <c r="AF92">
        <v>6.5179617064319562</v>
      </c>
      <c r="AG92">
        <v>8.9270283910146695</v>
      </c>
      <c r="AH92">
        <v>9.7520141727594289</v>
      </c>
      <c r="AI92">
        <v>9.8802881136947871</v>
      </c>
      <c r="AJ92">
        <v>9.9063928353147208</v>
      </c>
      <c r="AK92">
        <v>9.9552480305047268</v>
      </c>
      <c r="AL92">
        <v>9.1388291429423649</v>
      </c>
      <c r="AM92">
        <v>8.7231630343037398</v>
      </c>
      <c r="AN92">
        <v>8.6450429291850526</v>
      </c>
      <c r="AO92">
        <v>6.6504407581605758</v>
      </c>
      <c r="AP92">
        <v>5</v>
      </c>
      <c r="AQ92">
        <v>5</v>
      </c>
      <c r="AS92">
        <v>0.34532122667025722</v>
      </c>
      <c r="AT92">
        <v>0.38483432139158674</v>
      </c>
      <c r="AU92">
        <v>0.40491780551825529</v>
      </c>
      <c r="AV92">
        <v>0.29204694725896413</v>
      </c>
      <c r="AW92">
        <v>0.32682717855662885</v>
      </c>
      <c r="AX92">
        <v>0.36989576032622962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5.9192327386761084E-2</v>
      </c>
      <c r="BO92">
        <v>5.9606598928565617E-2</v>
      </c>
      <c r="BP92">
        <v>5.9740235174051526E-2</v>
      </c>
      <c r="BQ92">
        <v>3.6577026640083776E-2</v>
      </c>
      <c r="BR92">
        <v>3.6580878172440753E-2</v>
      </c>
      <c r="BS92">
        <v>3.6581463879828996E-2</v>
      </c>
    </row>
    <row r="93" spans="1:71" x14ac:dyDescent="0.25">
      <c r="A93">
        <v>91</v>
      </c>
      <c r="B93">
        <v>235</v>
      </c>
      <c r="C93">
        <v>0.20683548190806733</v>
      </c>
      <c r="D93">
        <v>0.19496723421153128</v>
      </c>
      <c r="E93">
        <v>0.19628864700364124</v>
      </c>
      <c r="F93">
        <v>0.23284173864188232</v>
      </c>
      <c r="G93">
        <v>0.23412653562013883</v>
      </c>
      <c r="H93">
        <v>0.23541418435440015</v>
      </c>
      <c r="I93">
        <v>0.2367046021095541</v>
      </c>
      <c r="J93">
        <v>0.23799770871257728</v>
      </c>
      <c r="K93">
        <v>0.33579518106863093</v>
      </c>
      <c r="L93">
        <v>0.33706849549146833</v>
      </c>
      <c r="M93">
        <v>0.33834408743789207</v>
      </c>
      <c r="N93">
        <v>0.3396219075101618</v>
      </c>
      <c r="O93">
        <v>0.34090190743084192</v>
      </c>
      <c r="P93">
        <v>0.34218404001810615</v>
      </c>
      <c r="Q93">
        <v>0.34346825916149382</v>
      </c>
      <c r="R93">
        <v>0.34475451979811605</v>
      </c>
      <c r="S93">
        <v>0.34539840187492837</v>
      </c>
      <c r="T93">
        <v>0.2660000000000004</v>
      </c>
      <c r="U93">
        <v>0.2</v>
      </c>
      <c r="V93">
        <v>0.2</v>
      </c>
      <c r="X93">
        <v>0.30423970617331908</v>
      </c>
      <c r="Y93">
        <v>0.38880565879439538</v>
      </c>
      <c r="Z93">
        <v>0.56823047192181042</v>
      </c>
      <c r="AA93">
        <v>0.83048849510096312</v>
      </c>
      <c r="AB93">
        <v>1.1493494719757713</v>
      </c>
      <c r="AC93">
        <v>1.4782936103017159</v>
      </c>
      <c r="AD93">
        <v>1.6505562223982786</v>
      </c>
      <c r="AE93">
        <v>2.457229616251583</v>
      </c>
      <c r="AF93">
        <v>6.46602652956736</v>
      </c>
      <c r="AG93">
        <v>8.8655099727062403</v>
      </c>
      <c r="AH93">
        <v>9.6952693203986229</v>
      </c>
      <c r="AI93">
        <v>9.8333500934971347</v>
      </c>
      <c r="AJ93">
        <v>9.8698679869639321</v>
      </c>
      <c r="AK93">
        <v>9.9290873835566291</v>
      </c>
      <c r="AL93">
        <v>9.1244517717155649</v>
      </c>
      <c r="AM93">
        <v>8.7185987464753616</v>
      </c>
      <c r="AN93">
        <v>8.6450429291850526</v>
      </c>
      <c r="AO93">
        <v>6.6504407581605758</v>
      </c>
      <c r="AP93">
        <v>5</v>
      </c>
      <c r="AQ93">
        <v>5</v>
      </c>
      <c r="AS93">
        <v>0.3371319883638057</v>
      </c>
      <c r="AT93">
        <v>0.37612093367116206</v>
      </c>
      <c r="AU93">
        <v>0.39597513072402901</v>
      </c>
      <c r="AV93">
        <v>0.2867945841648265</v>
      </c>
      <c r="AW93">
        <v>0.32253702885469421</v>
      </c>
      <c r="AX93">
        <v>0.36523478581127633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6.1039837930747159E-2</v>
      </c>
      <c r="BO93">
        <v>6.1323879469417551E-2</v>
      </c>
      <c r="BP93">
        <v>6.1432884480856195E-2</v>
      </c>
      <c r="BQ93">
        <v>3.7610217264330462E-2</v>
      </c>
      <c r="BR93">
        <v>3.7613271277019696E-2</v>
      </c>
      <c r="BS93">
        <v>3.7613661973217832E-2</v>
      </c>
    </row>
    <row r="94" spans="1:71" x14ac:dyDescent="0.25">
      <c r="A94">
        <v>92</v>
      </c>
      <c r="B94">
        <v>236</v>
      </c>
      <c r="C94">
        <v>0.21431242743356874</v>
      </c>
      <c r="D94">
        <v>0.2066432725599773</v>
      </c>
      <c r="E94">
        <v>0.19216322224933641</v>
      </c>
      <c r="F94">
        <v>0.22914855181937885</v>
      </c>
      <c r="G94">
        <v>0.23071595781712947</v>
      </c>
      <c r="H94">
        <v>0.23228885277964056</v>
      </c>
      <c r="I94">
        <v>0.2338670257236988</v>
      </c>
      <c r="J94">
        <v>0.23545027413150385</v>
      </c>
      <c r="K94">
        <v>0.33358255827339878</v>
      </c>
      <c r="L94">
        <v>0.33514530669371001</v>
      </c>
      <c r="M94">
        <v>0.33671217148875399</v>
      </c>
      <c r="N94">
        <v>0.33828303455768338</v>
      </c>
      <c r="O94">
        <v>0.33985778127562671</v>
      </c>
      <c r="P94">
        <v>0.34143630039913281</v>
      </c>
      <c r="Q94">
        <v>0.34301848397330892</v>
      </c>
      <c r="R94">
        <v>0.34460422724070194</v>
      </c>
      <c r="S94">
        <v>0.34539840187492837</v>
      </c>
      <c r="T94">
        <v>0.2660000000000004</v>
      </c>
      <c r="U94">
        <v>0.2</v>
      </c>
      <c r="V94">
        <v>0.2</v>
      </c>
      <c r="X94">
        <v>0.33107652092037038</v>
      </c>
      <c r="Y94">
        <v>0.46238951026869846</v>
      </c>
      <c r="Z94">
        <v>0.61069933393744669</v>
      </c>
      <c r="AA94">
        <v>0.85096537312638809</v>
      </c>
      <c r="AB94">
        <v>1.1659321802755382</v>
      </c>
      <c r="AC94">
        <v>1.4923134639726849</v>
      </c>
      <c r="AD94">
        <v>1.6305295455048148</v>
      </c>
      <c r="AE94">
        <v>2.4306438255950771</v>
      </c>
      <c r="AF94">
        <v>6.4231379631868277</v>
      </c>
      <c r="AG94">
        <v>8.8146363691516321</v>
      </c>
      <c r="AH94">
        <v>9.6482800340737711</v>
      </c>
      <c r="AI94">
        <v>9.7944311849871362</v>
      </c>
      <c r="AJ94">
        <v>9.8395453406057101</v>
      </c>
      <c r="AK94">
        <v>9.907342853147135</v>
      </c>
      <c r="AL94">
        <v>9.1124875417849491</v>
      </c>
      <c r="AM94">
        <v>8.7147962960145318</v>
      </c>
      <c r="AN94">
        <v>8.6450429291850526</v>
      </c>
      <c r="AO94">
        <v>6.6504407581605758</v>
      </c>
      <c r="AP94">
        <v>5</v>
      </c>
      <c r="AQ94">
        <v>5</v>
      </c>
      <c r="AS94">
        <v>0.3338404777921643</v>
      </c>
      <c r="AT94">
        <v>0.3733033098103869</v>
      </c>
      <c r="AU94">
        <v>0.39288025088886969</v>
      </c>
      <c r="AV94">
        <v>0.28449375180391495</v>
      </c>
      <c r="AW94">
        <v>0.32052442262299174</v>
      </c>
      <c r="AX94">
        <v>0.36288527404076476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5.1751946763266075E-2</v>
      </c>
      <c r="BO94">
        <v>5.1575712997292807E-2</v>
      </c>
      <c r="BP94">
        <v>5.1572945268090399E-2</v>
      </c>
      <c r="BQ94">
        <v>3.1561027336861974E-2</v>
      </c>
      <c r="BR94">
        <v>3.1560456069186893E-2</v>
      </c>
      <c r="BS94">
        <v>3.156005094914878E-2</v>
      </c>
    </row>
    <row r="95" spans="1:71" x14ac:dyDescent="0.25">
      <c r="A95">
        <v>93</v>
      </c>
      <c r="B95">
        <v>237</v>
      </c>
      <c r="C95">
        <v>0.21276250203574679</v>
      </c>
      <c r="D95">
        <v>0.20294151312525416</v>
      </c>
      <c r="E95">
        <v>0.18882534278094362</v>
      </c>
      <c r="F95">
        <v>0.22618732203945549</v>
      </c>
      <c r="G95">
        <v>0.22797498778651812</v>
      </c>
      <c r="H95">
        <v>0.22977166943817282</v>
      </c>
      <c r="I95">
        <v>0.2315769510791367</v>
      </c>
      <c r="J95">
        <v>0.23339043614161159</v>
      </c>
      <c r="K95">
        <v>0.33179530389495776</v>
      </c>
      <c r="L95">
        <v>0.33358949212788847</v>
      </c>
      <c r="M95">
        <v>0.33539008873788456</v>
      </c>
      <c r="N95">
        <v>0.33719687233105522</v>
      </c>
      <c r="O95">
        <v>0.33900962914127569</v>
      </c>
      <c r="P95">
        <v>0.34082815280491202</v>
      </c>
      <c r="Q95">
        <v>0.34265224413784989</v>
      </c>
      <c r="R95">
        <v>0.34448171091529778</v>
      </c>
      <c r="S95">
        <v>0.34539840187492837</v>
      </c>
      <c r="T95">
        <v>0.2660000000000004</v>
      </c>
      <c r="U95">
        <v>0.2</v>
      </c>
      <c r="V95">
        <v>0.2</v>
      </c>
      <c r="X95">
        <v>0.38703920286087706</v>
      </c>
      <c r="Y95">
        <v>0.5126684335343652</v>
      </c>
      <c r="Z95">
        <v>0.65369760478676076</v>
      </c>
      <c r="AA95">
        <v>0.87332105052098885</v>
      </c>
      <c r="AB95">
        <v>1.1852678011318749</v>
      </c>
      <c r="AC95">
        <v>1.5099472764171613</v>
      </c>
      <c r="AD95">
        <v>1.6144051671849105</v>
      </c>
      <c r="AE95">
        <v>2.4091916505418545</v>
      </c>
      <c r="AF95">
        <v>6.3885389760605031</v>
      </c>
      <c r="AG95">
        <v>8.7735261424233606</v>
      </c>
      <c r="AH95">
        <v>9.6102472327569259</v>
      </c>
      <c r="AI95">
        <v>9.7628818378330582</v>
      </c>
      <c r="AJ95">
        <v>9.81492824815669</v>
      </c>
      <c r="AK95">
        <v>9.8896649510381778</v>
      </c>
      <c r="AL95">
        <v>9.1027477662690401</v>
      </c>
      <c r="AM95">
        <v>8.7116968431698609</v>
      </c>
      <c r="AN95">
        <v>8.6450429291850526</v>
      </c>
      <c r="AO95">
        <v>6.6504407581605758</v>
      </c>
      <c r="AP95">
        <v>5</v>
      </c>
      <c r="AQ95">
        <v>5</v>
      </c>
      <c r="AS95">
        <v>0.3310115378682511</v>
      </c>
      <c r="AT95">
        <v>0.36759518695598753</v>
      </c>
      <c r="AU95">
        <v>0.3921000083784516</v>
      </c>
      <c r="AV95">
        <v>0.28344196543632544</v>
      </c>
      <c r="AW95">
        <v>0.31961511606880111</v>
      </c>
      <c r="AX95">
        <v>0.36134706509744058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5.3133742016593453E-2</v>
      </c>
      <c r="BO95">
        <v>5.3005027129079126E-2</v>
      </c>
      <c r="BP95">
        <v>5.3013405368745971E-2</v>
      </c>
      <c r="BQ95">
        <v>3.244467461233478E-2</v>
      </c>
      <c r="BR95">
        <v>3.2444453725639644E-2</v>
      </c>
      <c r="BS95">
        <v>3.2444122885396137E-2</v>
      </c>
    </row>
    <row r="96" spans="1:71" x14ac:dyDescent="0.25">
      <c r="A96">
        <v>94</v>
      </c>
      <c r="B96">
        <v>238</v>
      </c>
      <c r="C96">
        <v>0.21031105095835748</v>
      </c>
      <c r="D96">
        <v>0.1978133563831751</v>
      </c>
      <c r="E96">
        <v>0.18416189460129079</v>
      </c>
      <c r="F96">
        <v>0.22199785255971</v>
      </c>
      <c r="G96">
        <v>0.22410114933369876</v>
      </c>
      <c r="H96">
        <v>0.22621769672727926</v>
      </c>
      <c r="I96">
        <v>0.22834680491385448</v>
      </c>
      <c r="J96">
        <v>0.23048781883727185</v>
      </c>
      <c r="K96">
        <v>0.32925982651142111</v>
      </c>
      <c r="L96">
        <v>0.33138435062624338</v>
      </c>
      <c r="M96">
        <v>0.33351789224564538</v>
      </c>
      <c r="N96">
        <v>0.33566009738823183</v>
      </c>
      <c r="O96">
        <v>0.33781062550625451</v>
      </c>
      <c r="P96">
        <v>0.33996914908900278</v>
      </c>
      <c r="Q96">
        <v>0.34213535326396916</v>
      </c>
      <c r="R96">
        <v>0.34430893539773494</v>
      </c>
      <c r="S96">
        <v>0.34539840187492837</v>
      </c>
      <c r="T96">
        <v>0.2660000000000004</v>
      </c>
      <c r="U96">
        <v>0.2</v>
      </c>
      <c r="V96">
        <v>0.2</v>
      </c>
      <c r="X96">
        <v>0.4504399345515781</v>
      </c>
      <c r="Y96">
        <v>0.56411811666222667</v>
      </c>
      <c r="Z96">
        <v>0.69755289045392965</v>
      </c>
      <c r="AA96">
        <v>0.89484778915156726</v>
      </c>
      <c r="AB96">
        <v>1.2028297783266582</v>
      </c>
      <c r="AC96">
        <v>1.5250116587985334</v>
      </c>
      <c r="AD96">
        <v>1.5915681291892991</v>
      </c>
      <c r="AE96">
        <v>2.3788518199616071</v>
      </c>
      <c r="AF96">
        <v>6.3393437971063475</v>
      </c>
      <c r="AG96">
        <v>8.7151441863175148</v>
      </c>
      <c r="AH96">
        <v>9.5563002884488615</v>
      </c>
      <c r="AI96">
        <v>9.7181837867543965</v>
      </c>
      <c r="AJ96">
        <v>9.7800917635749034</v>
      </c>
      <c r="AK96">
        <v>9.8646766279364986</v>
      </c>
      <c r="AL96">
        <v>9.0889955269791329</v>
      </c>
      <c r="AM96">
        <v>8.7073252809587594</v>
      </c>
      <c r="AN96">
        <v>8.6450429291850526</v>
      </c>
      <c r="AO96">
        <v>6.6504407581605758</v>
      </c>
      <c r="AP96">
        <v>5</v>
      </c>
      <c r="AQ96">
        <v>5</v>
      </c>
      <c r="AS96">
        <v>0.32889271382954044</v>
      </c>
      <c r="AT96">
        <v>0.36451497266210903</v>
      </c>
      <c r="AU96">
        <v>0.3934815115959559</v>
      </c>
      <c r="AV96">
        <v>0.28326808160282263</v>
      </c>
      <c r="AW96">
        <v>0.31940208712833329</v>
      </c>
      <c r="AX96">
        <v>0.36039896784610376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6.1281907651990299E-2</v>
      </c>
      <c r="BO96">
        <v>6.1659997501762834E-2</v>
      </c>
      <c r="BP96">
        <v>6.1790077021104277E-2</v>
      </c>
      <c r="BQ96">
        <v>3.7833878577217442E-2</v>
      </c>
      <c r="BR96">
        <v>3.7837624901289002E-2</v>
      </c>
      <c r="BS96">
        <v>3.78381755608449E-2</v>
      </c>
    </row>
    <row r="97" spans="1:71" x14ac:dyDescent="0.25">
      <c r="A97">
        <v>95</v>
      </c>
      <c r="B97">
        <v>239</v>
      </c>
      <c r="C97">
        <v>0.20872251451472867</v>
      </c>
      <c r="D97">
        <v>0.1944708972076287</v>
      </c>
      <c r="E97">
        <v>0.1811659542589267</v>
      </c>
      <c r="F97">
        <v>0.2193525381579752</v>
      </c>
      <c r="G97">
        <v>0.22164328389004606</v>
      </c>
      <c r="H97">
        <v>0.22395271742112599</v>
      </c>
      <c r="I97">
        <v>0.22627973719791009</v>
      </c>
      <c r="J97">
        <v>0.22862330358134658</v>
      </c>
      <c r="K97">
        <v>0.3276341986735099</v>
      </c>
      <c r="L97">
        <v>0.32996648378055921</v>
      </c>
      <c r="M97">
        <v>0.33231087227041395</v>
      </c>
      <c r="N97">
        <v>0.33466682508846274</v>
      </c>
      <c r="O97">
        <v>0.33703382626388595</v>
      </c>
      <c r="P97">
        <v>0.33941138215818206</v>
      </c>
      <c r="Q97">
        <v>0.34179902070502222</v>
      </c>
      <c r="R97">
        <v>0.3441962906467671</v>
      </c>
      <c r="S97">
        <v>0.34539840187492837</v>
      </c>
      <c r="T97">
        <v>0.2660000000000004</v>
      </c>
      <c r="U97">
        <v>0.2</v>
      </c>
      <c r="V97">
        <v>0.2</v>
      </c>
      <c r="X97">
        <v>0.49516662150995361</v>
      </c>
      <c r="Y97">
        <v>0.59868087326026376</v>
      </c>
      <c r="Z97">
        <v>0.72786905248427936</v>
      </c>
      <c r="AA97">
        <v>0.91032468333319272</v>
      </c>
      <c r="AB97">
        <v>1.2158336639045006</v>
      </c>
      <c r="AC97">
        <v>1.5364093929716549</v>
      </c>
      <c r="AD97">
        <v>1.5770291380347539</v>
      </c>
      <c r="AE97">
        <v>2.3594513238598358</v>
      </c>
      <c r="AF97">
        <v>6.3078897737095554</v>
      </c>
      <c r="AG97">
        <v>8.6776951889055383</v>
      </c>
      <c r="AH97">
        <v>9.5215898823202245</v>
      </c>
      <c r="AI97">
        <v>9.6893407642740641</v>
      </c>
      <c r="AJ97">
        <v>9.7575505013032302</v>
      </c>
      <c r="AK97">
        <v>9.8484656500626375</v>
      </c>
      <c r="AL97">
        <v>9.0800518936195616</v>
      </c>
      <c r="AM97">
        <v>8.7044756439506834</v>
      </c>
      <c r="AN97">
        <v>8.6450429291850526</v>
      </c>
      <c r="AO97">
        <v>6.6504407581605758</v>
      </c>
      <c r="AP97">
        <v>5</v>
      </c>
      <c r="AQ97">
        <v>5</v>
      </c>
      <c r="AS97">
        <v>0.32972368042269534</v>
      </c>
      <c r="AT97">
        <v>0.36544661259119177</v>
      </c>
      <c r="AU97">
        <v>0.39676581681478379</v>
      </c>
      <c r="AV97">
        <v>0.28461543005056356</v>
      </c>
      <c r="AW97">
        <v>0.32067321508850749</v>
      </c>
      <c r="AX97">
        <v>0.36119056966251933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4.5557653551530457E-2</v>
      </c>
      <c r="BO97">
        <v>4.5190149476295169E-2</v>
      </c>
      <c r="BP97">
        <v>4.513589538186509E-2</v>
      </c>
      <c r="BQ97">
        <v>2.7615791994974215E-2</v>
      </c>
      <c r="BR97">
        <v>2.7613535215092178E-2</v>
      </c>
      <c r="BS97">
        <v>2.7612769509773965E-2</v>
      </c>
    </row>
    <row r="98" spans="1:71" x14ac:dyDescent="0.25">
      <c r="A98">
        <v>96</v>
      </c>
      <c r="B98">
        <v>240</v>
      </c>
      <c r="C98">
        <v>0.20993741669682817</v>
      </c>
      <c r="D98">
        <v>0.19196415081302626</v>
      </c>
      <c r="E98">
        <v>0.17894632420389697</v>
      </c>
      <c r="F98">
        <v>0.21742007012462036</v>
      </c>
      <c r="G98">
        <v>0.21983932295244279</v>
      </c>
      <c r="H98">
        <v>0.2222832360422454</v>
      </c>
      <c r="I98">
        <v>0.22475022653125926</v>
      </c>
      <c r="J98">
        <v>0.22723880543589459</v>
      </c>
      <c r="K98">
        <v>0.32642752623139759</v>
      </c>
      <c r="L98">
        <v>0.3289113434263391</v>
      </c>
      <c r="M98">
        <v>0.33141050596793886</v>
      </c>
      <c r="N98">
        <v>0.33392426424844762</v>
      </c>
      <c r="O98">
        <v>0.33645190332127262</v>
      </c>
      <c r="P98">
        <v>0.33899274176030969</v>
      </c>
      <c r="Q98">
        <v>0.34154613048652105</v>
      </c>
      <c r="R98">
        <v>0.34411145157442991</v>
      </c>
      <c r="S98">
        <v>0.34539840187492837</v>
      </c>
      <c r="T98">
        <v>0.2660000000000004</v>
      </c>
      <c r="U98">
        <v>0.2</v>
      </c>
      <c r="V98">
        <v>0.2</v>
      </c>
      <c r="X98">
        <v>0.54104202322192396</v>
      </c>
      <c r="Y98">
        <v>0.63579627586840237</v>
      </c>
      <c r="Z98">
        <v>0.76172360450808074</v>
      </c>
      <c r="AA98">
        <v>0.92923087300095364</v>
      </c>
      <c r="AB98">
        <v>1.2329757988723722</v>
      </c>
      <c r="AC98">
        <v>1.5524591094303988</v>
      </c>
      <c r="AD98">
        <v>1.5662968556897221</v>
      </c>
      <c r="AE98">
        <v>2.345075891917646</v>
      </c>
      <c r="AF98">
        <v>6.2845720197024315</v>
      </c>
      <c r="AG98">
        <v>8.6498573336341025</v>
      </c>
      <c r="AH98">
        <v>9.4957219073416095</v>
      </c>
      <c r="AI98">
        <v>9.6677941868388917</v>
      </c>
      <c r="AJ98">
        <v>9.7406739657735901</v>
      </c>
      <c r="AK98">
        <v>9.8363032493080826</v>
      </c>
      <c r="AL98">
        <v>9.0733287716093418</v>
      </c>
      <c r="AM98">
        <v>8.7023295961064875</v>
      </c>
      <c r="AN98">
        <v>8.6450429291850526</v>
      </c>
      <c r="AO98">
        <v>6.6504407581605758</v>
      </c>
      <c r="AP98">
        <v>5</v>
      </c>
      <c r="AQ98">
        <v>5</v>
      </c>
      <c r="AS98">
        <v>0.33115248142147657</v>
      </c>
      <c r="AT98">
        <v>0.36753806570861591</v>
      </c>
      <c r="AU98">
        <v>0.40087639991556473</v>
      </c>
      <c r="AV98">
        <v>0.28637458785298486</v>
      </c>
      <c r="AW98">
        <v>0.32230915996920351</v>
      </c>
      <c r="AX98">
        <v>0.36235588176941863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4.7304202710751524E-2</v>
      </c>
      <c r="BO98">
        <v>4.7024675428911041E-2</v>
      </c>
      <c r="BP98">
        <v>4.6993540889314622E-2</v>
      </c>
      <c r="BQ98">
        <v>2.8756474243837208E-2</v>
      </c>
      <c r="BR98">
        <v>2.8754986649636969E-2</v>
      </c>
      <c r="BS98">
        <v>2.8754391216526603E-2</v>
      </c>
    </row>
    <row r="99" spans="1:71" x14ac:dyDescent="0.25">
      <c r="A99">
        <v>97</v>
      </c>
      <c r="B99">
        <v>241</v>
      </c>
      <c r="C99">
        <v>0.20814066845416707</v>
      </c>
      <c r="D99">
        <v>0.18886636791527861</v>
      </c>
      <c r="E99">
        <v>0.17617039753838359</v>
      </c>
      <c r="F99">
        <v>0.21496298687282211</v>
      </c>
      <c r="G99">
        <v>0.21755255464158085</v>
      </c>
      <c r="H99">
        <v>0.22017285074311282</v>
      </c>
      <c r="I99">
        <v>0.22282179012427708</v>
      </c>
      <c r="J99">
        <v>0.22549741324032205</v>
      </c>
      <c r="K99">
        <v>0.32490228203168336</v>
      </c>
      <c r="L99">
        <v>0.32758027237302689</v>
      </c>
      <c r="M99">
        <v>0.33027681223003308</v>
      </c>
      <c r="N99">
        <v>0.3329909336939606</v>
      </c>
      <c r="O99">
        <v>0.33572171567774745</v>
      </c>
      <c r="P99">
        <v>0.3384682824532862</v>
      </c>
      <c r="Q99">
        <v>0.34122980210491832</v>
      </c>
      <c r="R99">
        <v>0.34400548492413036</v>
      </c>
      <c r="S99">
        <v>0.34539840187492837</v>
      </c>
      <c r="T99">
        <v>0.2660000000000004</v>
      </c>
      <c r="U99">
        <v>0.2</v>
      </c>
      <c r="V99">
        <v>0.2</v>
      </c>
      <c r="X99">
        <v>0.58717713743883215</v>
      </c>
      <c r="Y99">
        <v>0.66992841535736158</v>
      </c>
      <c r="Z99">
        <v>0.79256805451218271</v>
      </c>
      <c r="AA99">
        <v>0.94569082899293833</v>
      </c>
      <c r="AB99">
        <v>1.2472728066809113</v>
      </c>
      <c r="AC99">
        <v>1.5653011056311872</v>
      </c>
      <c r="AD99">
        <v>1.5527411622408493</v>
      </c>
      <c r="AE99">
        <v>2.3269661637503498</v>
      </c>
      <c r="AF99">
        <v>6.2550692813381543</v>
      </c>
      <c r="AG99">
        <v>8.6147099951552768</v>
      </c>
      <c r="AH99">
        <v>9.4631273077069533</v>
      </c>
      <c r="AI99">
        <v>9.6406966091091579</v>
      </c>
      <c r="AJ99">
        <v>9.7194882055523397</v>
      </c>
      <c r="AK99">
        <v>9.8210618188602616</v>
      </c>
      <c r="AL99">
        <v>9.0649175736765493</v>
      </c>
      <c r="AM99">
        <v>8.6996489507170534</v>
      </c>
      <c r="AN99">
        <v>8.6450429291850526</v>
      </c>
      <c r="AO99">
        <v>6.6504407581605758</v>
      </c>
      <c r="AP99">
        <v>5</v>
      </c>
      <c r="AQ99">
        <v>5</v>
      </c>
      <c r="AS99">
        <v>0.33317832214390358</v>
      </c>
      <c r="AT99">
        <v>0.37084670930365238</v>
      </c>
      <c r="AU99">
        <v>0.4058634279347163</v>
      </c>
      <c r="AV99">
        <v>0.28856396257066946</v>
      </c>
      <c r="AW99">
        <v>0.32432096550392742</v>
      </c>
      <c r="AX99">
        <v>0.36390176503705662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4.816095493933515E-2</v>
      </c>
      <c r="BO99">
        <v>4.7869102596765134E-2</v>
      </c>
      <c r="BP99">
        <v>4.783399884996771E-2</v>
      </c>
      <c r="BQ99">
        <v>2.9270683009985435E-2</v>
      </c>
      <c r="BR99">
        <v>2.9269038009740671E-2</v>
      </c>
      <c r="BS99">
        <v>2.9268401163033569E-2</v>
      </c>
    </row>
    <row r="100" spans="1:71" x14ac:dyDescent="0.25">
      <c r="A100">
        <v>98</v>
      </c>
      <c r="B100">
        <v>242</v>
      </c>
      <c r="C100">
        <v>0.20645642660202831</v>
      </c>
      <c r="D100">
        <v>0.1863018369956202</v>
      </c>
      <c r="E100">
        <v>0.17388477027277485</v>
      </c>
      <c r="F100">
        <v>0.2129498801255709</v>
      </c>
      <c r="G100">
        <v>0.21567384227028744</v>
      </c>
      <c r="H100">
        <v>0.21843479685148559</v>
      </c>
      <c r="I100">
        <v>0.22123011162868156</v>
      </c>
      <c r="J100">
        <v>0.22405731487390054</v>
      </c>
      <c r="K100">
        <v>0.32363896759670163</v>
      </c>
      <c r="L100">
        <v>0.32647638305999721</v>
      </c>
      <c r="M100">
        <v>0.32933551895298457</v>
      </c>
      <c r="N100">
        <v>0.33221517598733979</v>
      </c>
      <c r="O100">
        <v>0.33511421538989161</v>
      </c>
      <c r="P100">
        <v>0.33803155708033761</v>
      </c>
      <c r="Q100">
        <v>0.34096617769330512</v>
      </c>
      <c r="R100">
        <v>0.34391710848749302</v>
      </c>
      <c r="S100">
        <v>0.34539840187492837</v>
      </c>
      <c r="T100">
        <v>0.2660000000000004</v>
      </c>
      <c r="U100">
        <v>0.2</v>
      </c>
      <c r="V100">
        <v>0.2</v>
      </c>
      <c r="X100">
        <v>0.63232465367494017</v>
      </c>
      <c r="Y100">
        <v>0.70390490901097269</v>
      </c>
      <c r="Z100">
        <v>0.82394695741714119</v>
      </c>
      <c r="AA100">
        <v>0.96321888039901749</v>
      </c>
      <c r="AB100">
        <v>1.2630787258035863</v>
      </c>
      <c r="AC100">
        <v>1.5799546252348573</v>
      </c>
      <c r="AD100">
        <v>1.5415696960287228</v>
      </c>
      <c r="AE100">
        <v>2.3120099005592953</v>
      </c>
      <c r="AF100">
        <v>6.2306528169871367</v>
      </c>
      <c r="AG100">
        <v>8.5855817433369701</v>
      </c>
      <c r="AH100">
        <v>9.4360801852376923</v>
      </c>
      <c r="AI100">
        <v>9.6181845589913912</v>
      </c>
      <c r="AJ100">
        <v>9.701868565407219</v>
      </c>
      <c r="AK100">
        <v>9.8083733381673976</v>
      </c>
      <c r="AL100">
        <v>9.0579088622030248</v>
      </c>
      <c r="AM100">
        <v>8.6974134004775152</v>
      </c>
      <c r="AN100">
        <v>8.6450429291850526</v>
      </c>
      <c r="AO100">
        <v>6.6504407581605758</v>
      </c>
      <c r="AP100">
        <v>5</v>
      </c>
      <c r="AQ100">
        <v>5</v>
      </c>
      <c r="AS100">
        <v>0.33576251022050635</v>
      </c>
      <c r="AT100">
        <v>0.37505581079011746</v>
      </c>
      <c r="AU100">
        <v>0.41143006344729582</v>
      </c>
      <c r="AV100">
        <v>0.29107772901885931</v>
      </c>
      <c r="AW100">
        <v>0.32663007320273646</v>
      </c>
      <c r="AX100">
        <v>0.36577255693878197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4.7731704312710899E-2</v>
      </c>
      <c r="BO100">
        <v>4.7407469507220183E-2</v>
      </c>
      <c r="BP100">
        <v>4.7363444208837591E-2</v>
      </c>
      <c r="BQ100">
        <v>2.8981839738933535E-2</v>
      </c>
      <c r="BR100">
        <v>2.8979890300629019E-2</v>
      </c>
      <c r="BS100">
        <v>2.8979184618219168E-2</v>
      </c>
    </row>
    <row r="101" spans="1:71" x14ac:dyDescent="0.25">
      <c r="A101">
        <v>99</v>
      </c>
      <c r="B101">
        <v>243</v>
      </c>
      <c r="C101">
        <v>0.20478358741048835</v>
      </c>
      <c r="D101">
        <v>0.18410657730697969</v>
      </c>
      <c r="E101">
        <v>0.17193390838611272</v>
      </c>
      <c r="F101">
        <v>0.2112347957760019</v>
      </c>
      <c r="G101">
        <v>0.2140702685486135</v>
      </c>
      <c r="H101">
        <v>0.21694884546679255</v>
      </c>
      <c r="I101">
        <v>0.21986734174367054</v>
      </c>
      <c r="J101">
        <v>0.22282276779627871</v>
      </c>
      <c r="K101">
        <v>0.32255401561890601</v>
      </c>
      <c r="L101">
        <v>0.32552763253168621</v>
      </c>
      <c r="M101">
        <v>0.32852596559174213</v>
      </c>
      <c r="N101">
        <v>0.33154758552285912</v>
      </c>
      <c r="O101">
        <v>0.33459113771479926</v>
      </c>
      <c r="P101">
        <v>0.33765534005906267</v>
      </c>
      <c r="Q101">
        <v>0.34073898053527463</v>
      </c>
      <c r="R101">
        <v>0.34384091461403449</v>
      </c>
      <c r="S101">
        <v>0.34539840187492837</v>
      </c>
      <c r="T101">
        <v>0.2660000000000004</v>
      </c>
      <c r="U101">
        <v>0.2</v>
      </c>
      <c r="V101">
        <v>0.2</v>
      </c>
      <c r="X101">
        <v>0.68637791959080863</v>
      </c>
      <c r="Y101">
        <v>0.74769239956872002</v>
      </c>
      <c r="Z101">
        <v>0.86535894406531455</v>
      </c>
      <c r="AA101">
        <v>0.98767438128010743</v>
      </c>
      <c r="AB101">
        <v>1.2861759281125527</v>
      </c>
      <c r="AC101">
        <v>1.6022024652156481</v>
      </c>
      <c r="AD101">
        <v>1.5320148219817955</v>
      </c>
      <c r="AE101">
        <v>2.2992002353065155</v>
      </c>
      <c r="AF101">
        <v>6.2096952137039239</v>
      </c>
      <c r="AG101">
        <v>8.5605590589292024</v>
      </c>
      <c r="AH101">
        <v>9.4128278057274386</v>
      </c>
      <c r="AI101">
        <v>9.5988177815586084</v>
      </c>
      <c r="AJ101">
        <v>9.6867013051865669</v>
      </c>
      <c r="AK101">
        <v>9.7974448067240836</v>
      </c>
      <c r="AL101">
        <v>9.0518692504510643</v>
      </c>
      <c r="AM101">
        <v>8.6954860858739096</v>
      </c>
      <c r="AN101">
        <v>8.6450429291850526</v>
      </c>
      <c r="AO101">
        <v>6.6504407581605758</v>
      </c>
      <c r="AP101">
        <v>5</v>
      </c>
      <c r="AQ101">
        <v>5</v>
      </c>
      <c r="AS101">
        <v>0.33903973688406897</v>
      </c>
      <c r="AT101">
        <v>0.38027924350135001</v>
      </c>
      <c r="AU101">
        <v>0.41813080060029761</v>
      </c>
      <c r="AV101">
        <v>0.29397904615683218</v>
      </c>
      <c r="AW101">
        <v>0.32925018395635708</v>
      </c>
      <c r="AX101">
        <v>0.36788200373097124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5.7330492579431028E-2</v>
      </c>
      <c r="BO101">
        <v>5.7404181641337773E-2</v>
      </c>
      <c r="BP101">
        <v>5.7461704063094025E-2</v>
      </c>
      <c r="BQ101">
        <v>3.5177506939715636E-2</v>
      </c>
      <c r="BR101">
        <v>3.5178878495453918E-2</v>
      </c>
      <c r="BS101">
        <v>3.5178896623304166E-2</v>
      </c>
    </row>
    <row r="102" spans="1:71" x14ac:dyDescent="0.25">
      <c r="A102">
        <v>100</v>
      </c>
      <c r="B102">
        <v>244</v>
      </c>
      <c r="C102">
        <v>0.20286568355206067</v>
      </c>
      <c r="D102">
        <v>0.18199759006613037</v>
      </c>
      <c r="E102">
        <v>0.17005261321643386</v>
      </c>
      <c r="F102">
        <v>0.20957137543886251</v>
      </c>
      <c r="G102">
        <v>0.21251614587847212</v>
      </c>
      <c r="H102">
        <v>0.2155097292656942</v>
      </c>
      <c r="I102">
        <v>0.2185484117605033</v>
      </c>
      <c r="J102">
        <v>0.22162870689662215</v>
      </c>
      <c r="K102">
        <v>0.32150256627411677</v>
      </c>
      <c r="L102">
        <v>0.32460872653996375</v>
      </c>
      <c r="M102">
        <v>0.32774232833546257</v>
      </c>
      <c r="N102">
        <v>0.33090172443664434</v>
      </c>
      <c r="O102">
        <v>0.3340853561039247</v>
      </c>
      <c r="P102">
        <v>0.33729175061608685</v>
      </c>
      <c r="Q102">
        <v>0.34051951844426032</v>
      </c>
      <c r="R102">
        <v>0.34376735015901844</v>
      </c>
      <c r="S102">
        <v>0.34539840187492837</v>
      </c>
      <c r="T102">
        <v>0.2660000000000004</v>
      </c>
      <c r="U102">
        <v>0.2</v>
      </c>
      <c r="V102">
        <v>0.2</v>
      </c>
      <c r="X102">
        <v>0.74412034736819399</v>
      </c>
      <c r="Y102">
        <v>0.79553286461044037</v>
      </c>
      <c r="Z102">
        <v>0.91108308351551603</v>
      </c>
      <c r="AA102">
        <v>1.0150360359904973</v>
      </c>
      <c r="AB102">
        <v>1.312296170962963</v>
      </c>
      <c r="AC102">
        <v>1.6275466590368393</v>
      </c>
      <c r="AD102">
        <v>1.5227691804001824</v>
      </c>
      <c r="AE102">
        <v>2.2868129180681342</v>
      </c>
      <c r="AF102">
        <v>6.1893868844751507</v>
      </c>
      <c r="AG102">
        <v>8.5363257331785611</v>
      </c>
      <c r="AH102">
        <v>9.3903215808129605</v>
      </c>
      <c r="AI102">
        <v>9.5800826030419977</v>
      </c>
      <c r="AJ102">
        <v>9.6720363242148366</v>
      </c>
      <c r="AK102">
        <v>9.7868834826082214</v>
      </c>
      <c r="AL102">
        <v>9.0460353935186681</v>
      </c>
      <c r="AM102">
        <v>8.6936252963175118</v>
      </c>
      <c r="AN102">
        <v>8.6450429291850526</v>
      </c>
      <c r="AO102">
        <v>6.6504407581605758</v>
      </c>
      <c r="AP102">
        <v>5</v>
      </c>
      <c r="AQ102">
        <v>5</v>
      </c>
      <c r="AS102">
        <v>0.34347513111000949</v>
      </c>
      <c r="AT102">
        <v>0.38647954479350854</v>
      </c>
      <c r="AU102">
        <v>0.42570259362625967</v>
      </c>
      <c r="AV102">
        <v>0.29728120703296146</v>
      </c>
      <c r="AW102">
        <v>0.33223229264812804</v>
      </c>
      <c r="AX102">
        <v>0.37034764838081419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6.2177822003325896E-2</v>
      </c>
      <c r="BO102">
        <v>6.2705022438574842E-2</v>
      </c>
      <c r="BP102">
        <v>6.2869414298735896E-2</v>
      </c>
      <c r="BQ102">
        <v>3.8503233774487021E-2</v>
      </c>
      <c r="BR102">
        <v>3.8508108264368998E-2</v>
      </c>
      <c r="BS102">
        <v>3.8508917036943764E-2</v>
      </c>
    </row>
    <row r="103" spans="1:71" x14ac:dyDescent="0.25">
      <c r="A103">
        <v>101</v>
      </c>
      <c r="B103">
        <v>245</v>
      </c>
      <c r="C103">
        <v>0.20195409200711911</v>
      </c>
      <c r="D103">
        <v>0.18113564142852287</v>
      </c>
      <c r="E103">
        <v>0.16932123551358241</v>
      </c>
      <c r="F103">
        <v>0.20896022666786807</v>
      </c>
      <c r="G103">
        <v>0.2119324341816354</v>
      </c>
      <c r="H103">
        <v>0.21495865835866426</v>
      </c>
      <c r="I103">
        <v>0.21803468952156937</v>
      </c>
      <c r="J103">
        <v>0.22115657520380216</v>
      </c>
      <c r="K103">
        <v>0.32108643792869185</v>
      </c>
      <c r="L103">
        <v>0.32424133768037627</v>
      </c>
      <c r="M103">
        <v>0.32742609623275815</v>
      </c>
      <c r="N103">
        <v>0.3306388651246599</v>
      </c>
      <c r="O103">
        <v>0.33387789762303921</v>
      </c>
      <c r="P103">
        <v>0.33714154596803708</v>
      </c>
      <c r="Q103">
        <v>0.34042825814030192</v>
      </c>
      <c r="R103">
        <v>0.34373657427357729</v>
      </c>
      <c r="S103">
        <v>0.34539840187492837</v>
      </c>
      <c r="T103">
        <v>0.2660000000000004</v>
      </c>
      <c r="U103">
        <v>0.2</v>
      </c>
      <c r="V103">
        <v>0.2</v>
      </c>
      <c r="X103">
        <v>0.78979633455221765</v>
      </c>
      <c r="Y103">
        <v>0.8363636078748059</v>
      </c>
      <c r="Z103">
        <v>0.95098850543028801</v>
      </c>
      <c r="AA103">
        <v>1.0397372213164942</v>
      </c>
      <c r="AB103">
        <v>1.3365598708545012</v>
      </c>
      <c r="AC103">
        <v>1.6515875779731204</v>
      </c>
      <c r="AD103">
        <v>1.5191813091561555</v>
      </c>
      <c r="AE103">
        <v>2.2819309612320096</v>
      </c>
      <c r="AF103">
        <v>6.181365432868394</v>
      </c>
      <c r="AG103">
        <v>8.5266534594376004</v>
      </c>
      <c r="AH103">
        <v>9.3812522941167042</v>
      </c>
      <c r="AI103">
        <v>9.5724663963965977</v>
      </c>
      <c r="AJ103">
        <v>9.6660265045257354</v>
      </c>
      <c r="AK103">
        <v>9.7825231911917836</v>
      </c>
      <c r="AL103">
        <v>9.0436103776162255</v>
      </c>
      <c r="AM103">
        <v>8.6928469269608222</v>
      </c>
      <c r="AN103">
        <v>8.6450429291850526</v>
      </c>
      <c r="AO103">
        <v>6.6504407581605758</v>
      </c>
      <c r="AP103">
        <v>5</v>
      </c>
      <c r="AQ103">
        <v>5</v>
      </c>
      <c r="AS103">
        <v>0.34863754969723065</v>
      </c>
      <c r="AT103">
        <v>0.39251097233618926</v>
      </c>
      <c r="AU103">
        <v>0.43250283955917834</v>
      </c>
      <c r="AV103">
        <v>0.30060640093490021</v>
      </c>
      <c r="AW103">
        <v>0.33534859592150806</v>
      </c>
      <c r="AX103">
        <v>0.37312827515104474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5.0838405771244759E-2</v>
      </c>
      <c r="BO103">
        <v>5.0647778451213439E-2</v>
      </c>
      <c r="BP103">
        <v>5.0641062310808449E-2</v>
      </c>
      <c r="BQ103">
        <v>3.0995068704410354E-2</v>
      </c>
      <c r="BR103">
        <v>3.099437501726331E-2</v>
      </c>
      <c r="BS103">
        <v>3.0993946206576528E-2</v>
      </c>
    </row>
    <row r="104" spans="1:71" x14ac:dyDescent="0.25">
      <c r="A104">
        <v>102</v>
      </c>
      <c r="B104">
        <v>246</v>
      </c>
      <c r="C104">
        <v>0.21431242743356874</v>
      </c>
      <c r="D104">
        <v>0.21431242743356874</v>
      </c>
      <c r="E104">
        <v>0.17268263586236599</v>
      </c>
      <c r="F104">
        <v>0.2085433205649051</v>
      </c>
      <c r="G104">
        <v>0.21153103232606135</v>
      </c>
      <c r="H104">
        <v>0.2145770844037887</v>
      </c>
      <c r="I104">
        <v>0.21767686097020947</v>
      </c>
      <c r="J104">
        <v>0.22082602482776731</v>
      </c>
      <c r="K104">
        <v>0.32079471257012337</v>
      </c>
      <c r="L104">
        <v>0.32398292077508617</v>
      </c>
      <c r="M104">
        <v>0.32720299332050556</v>
      </c>
      <c r="N104">
        <v>0.33045291364037327</v>
      </c>
      <c r="O104">
        <v>0.33373077775618648</v>
      </c>
      <c r="P104">
        <v>0.33703479137657283</v>
      </c>
      <c r="Q104">
        <v>0.34036326639645559</v>
      </c>
      <c r="R104">
        <v>0.34371461694811223</v>
      </c>
      <c r="S104">
        <v>0.34539840187492837</v>
      </c>
      <c r="T104">
        <v>0.2660000000000004</v>
      </c>
      <c r="U104">
        <v>0.2</v>
      </c>
      <c r="V104">
        <v>0.2</v>
      </c>
      <c r="X104">
        <v>0.68735556235025908</v>
      </c>
      <c r="Y104">
        <v>0.99783598671263907</v>
      </c>
      <c r="Z104">
        <v>1.0059478965583348</v>
      </c>
      <c r="AA104">
        <v>1.0623455021576331</v>
      </c>
      <c r="AB104">
        <v>1.3588728898118738</v>
      </c>
      <c r="AC104">
        <v>1.673758043904084</v>
      </c>
      <c r="AD104">
        <v>1.5166839998662041</v>
      </c>
      <c r="AE104">
        <v>2.2785151811494351</v>
      </c>
      <c r="AF104">
        <v>6.1757442022910594</v>
      </c>
      <c r="AG104">
        <v>8.5198523867322926</v>
      </c>
      <c r="AH104">
        <v>9.3748557001058916</v>
      </c>
      <c r="AI104">
        <v>9.567079806473437</v>
      </c>
      <c r="AJ104">
        <v>9.6617653915954218</v>
      </c>
      <c r="AK104">
        <v>9.779424611183174</v>
      </c>
      <c r="AL104">
        <v>9.04188351673805</v>
      </c>
      <c r="AM104">
        <v>8.6922916067626659</v>
      </c>
      <c r="AN104">
        <v>8.6450429291850526</v>
      </c>
      <c r="AO104">
        <v>6.6504407581605758</v>
      </c>
      <c r="AP104">
        <v>5</v>
      </c>
      <c r="AQ104">
        <v>5</v>
      </c>
      <c r="AS104">
        <v>0.35391767894472353</v>
      </c>
      <c r="AT104">
        <v>0.39828957002013154</v>
      </c>
      <c r="AU104">
        <v>0.43882253710296243</v>
      </c>
      <c r="AV104">
        <v>0.30382526914203944</v>
      </c>
      <c r="AW104">
        <v>0.33840400357713357</v>
      </c>
      <c r="AX104">
        <v>0.37592505991499747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4.5840686523208274E-2</v>
      </c>
      <c r="BO104">
        <v>4.5614145148783945E-2</v>
      </c>
      <c r="BP104">
        <v>4.5595675499575501E-2</v>
      </c>
      <c r="BQ104">
        <v>2.7905723379359058E-2</v>
      </c>
      <c r="BR104">
        <v>2.7904686216836408E-2</v>
      </c>
      <c r="BS104">
        <v>2.7904203658470697E-2</v>
      </c>
    </row>
    <row r="105" spans="1:71" x14ac:dyDescent="0.25">
      <c r="A105">
        <v>103</v>
      </c>
      <c r="B105">
        <v>247</v>
      </c>
      <c r="C105">
        <v>0.21279720790058729</v>
      </c>
      <c r="D105">
        <v>0.21336080150997963</v>
      </c>
      <c r="E105">
        <v>0.17189473720300036</v>
      </c>
      <c r="F105">
        <v>0.20787250451004685</v>
      </c>
      <c r="G105">
        <v>0.21089946231204429</v>
      </c>
      <c r="H105">
        <v>0.21398824633128183</v>
      </c>
      <c r="I105">
        <v>0.2171339184773437</v>
      </c>
      <c r="J105">
        <v>0.22033183399764839</v>
      </c>
      <c r="K105">
        <v>0.3203583663044382</v>
      </c>
      <c r="L105">
        <v>0.32360024662835918</v>
      </c>
      <c r="M105">
        <v>0.32687561003291538</v>
      </c>
      <c r="N105">
        <v>0.33018230387138037</v>
      </c>
      <c r="O105">
        <v>0.33351829669547933</v>
      </c>
      <c r="P105">
        <v>0.33688167530999397</v>
      </c>
      <c r="Q105">
        <v>0.34027064111014255</v>
      </c>
      <c r="R105">
        <v>0.34368350588084295</v>
      </c>
      <c r="S105">
        <v>0.34539840187492837</v>
      </c>
      <c r="T105">
        <v>0.2660000000000004</v>
      </c>
      <c r="U105">
        <v>0.2</v>
      </c>
      <c r="V105">
        <v>0.2</v>
      </c>
      <c r="X105">
        <v>0.73450423075112814</v>
      </c>
      <c r="Y105">
        <v>1.0413504549927943</v>
      </c>
      <c r="Z105">
        <v>1.0439619500252433</v>
      </c>
      <c r="AA105">
        <v>1.0850861617497773</v>
      </c>
      <c r="AB105">
        <v>1.3811424188016534</v>
      </c>
      <c r="AC105">
        <v>1.6957453626776362</v>
      </c>
      <c r="AD105">
        <v>1.5128915376035066</v>
      </c>
      <c r="AE105">
        <v>2.2734046109318657</v>
      </c>
      <c r="AF105">
        <v>6.1673324883983263</v>
      </c>
      <c r="AG105">
        <v>8.5097772175187263</v>
      </c>
      <c r="AH105">
        <v>9.3654662841152785</v>
      </c>
      <c r="AI105">
        <v>9.5592388494445135</v>
      </c>
      <c r="AJ105">
        <v>9.6556099806957771</v>
      </c>
      <c r="AK105">
        <v>9.7749797655901602</v>
      </c>
      <c r="AL105">
        <v>9.0394222199102821</v>
      </c>
      <c r="AM105">
        <v>8.6915047593746628</v>
      </c>
      <c r="AN105">
        <v>8.6450429291850526</v>
      </c>
      <c r="AO105">
        <v>6.6504407581605758</v>
      </c>
      <c r="AP105">
        <v>5</v>
      </c>
      <c r="AQ105">
        <v>5</v>
      </c>
      <c r="AS105">
        <v>0.35524005911063972</v>
      </c>
      <c r="AT105">
        <v>0.39855676949544694</v>
      </c>
      <c r="AU105">
        <v>0.44440956087053268</v>
      </c>
      <c r="AV105">
        <v>0.30716363117209194</v>
      </c>
      <c r="AW105">
        <v>0.34157126677630339</v>
      </c>
      <c r="AX105">
        <v>0.37883763205409787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4.8471048566785281E-2</v>
      </c>
      <c r="BO105">
        <v>4.823218812156272E-2</v>
      </c>
      <c r="BP105">
        <v>4.8211951377495267E-2</v>
      </c>
      <c r="BQ105">
        <v>2.9507269241252819E-2</v>
      </c>
      <c r="BR105">
        <v>2.9506140496704233E-2</v>
      </c>
      <c r="BS105">
        <v>2.9505622663403057E-2</v>
      </c>
    </row>
    <row r="106" spans="1:71" x14ac:dyDescent="0.25">
      <c r="A106">
        <v>104</v>
      </c>
      <c r="B106">
        <v>248</v>
      </c>
      <c r="C106">
        <v>0.21129536040442473</v>
      </c>
      <c r="D106">
        <v>0.21262434573189756</v>
      </c>
      <c r="E106">
        <v>0.17128723032047663</v>
      </c>
      <c r="F106">
        <v>0.2073562115276239</v>
      </c>
      <c r="G106">
        <v>0.21041284961708481</v>
      </c>
      <c r="H106">
        <v>0.21353413095856993</v>
      </c>
      <c r="I106">
        <v>0.21671485613958189</v>
      </c>
      <c r="J106">
        <v>0.21995013032232641</v>
      </c>
      <c r="K106">
        <v>0.32002104705577367</v>
      </c>
      <c r="L106">
        <v>0.32330429905266445</v>
      </c>
      <c r="M106">
        <v>0.32662233135983343</v>
      </c>
      <c r="N106">
        <v>0.32997288078126263</v>
      </c>
      <c r="O106">
        <v>0.333353812361734</v>
      </c>
      <c r="P106">
        <v>0.33676311642119972</v>
      </c>
      <c r="Q106">
        <v>0.34019890476936754</v>
      </c>
      <c r="R106">
        <v>0.34365940630310515</v>
      </c>
      <c r="S106">
        <v>0.34539840187492837</v>
      </c>
      <c r="T106">
        <v>0.2660000000000004</v>
      </c>
      <c r="U106">
        <v>0.2</v>
      </c>
      <c r="V106">
        <v>0.2</v>
      </c>
      <c r="X106">
        <v>0.78061198167877377</v>
      </c>
      <c r="Y106">
        <v>1.0844935533928628</v>
      </c>
      <c r="Z106">
        <v>1.0823742352734396</v>
      </c>
      <c r="AA106">
        <v>1.1082730792954931</v>
      </c>
      <c r="AB106">
        <v>1.403993844086509</v>
      </c>
      <c r="AC106">
        <v>1.7184109702476167</v>
      </c>
      <c r="AD106">
        <v>1.5099660535096988</v>
      </c>
      <c r="AE106">
        <v>2.2694593216328096</v>
      </c>
      <c r="AF106">
        <v>6.1608317910836012</v>
      </c>
      <c r="AG106">
        <v>8.5019875037889481</v>
      </c>
      <c r="AH106">
        <v>9.3582038508843404</v>
      </c>
      <c r="AI106">
        <v>9.5531719104455153</v>
      </c>
      <c r="AJ106">
        <v>9.650845683676561</v>
      </c>
      <c r="AK106">
        <v>9.7715384423499234</v>
      </c>
      <c r="AL106">
        <v>9.0375161142065732</v>
      </c>
      <c r="AM106">
        <v>8.6908952559222179</v>
      </c>
      <c r="AN106">
        <v>8.6450429291850526</v>
      </c>
      <c r="AO106">
        <v>6.6504407581605758</v>
      </c>
      <c r="AP106">
        <v>5</v>
      </c>
      <c r="AQ106">
        <v>5</v>
      </c>
      <c r="AS106">
        <v>0.35725060251120405</v>
      </c>
      <c r="AT106">
        <v>0.39962564567965919</v>
      </c>
      <c r="AU106">
        <v>0.45007606439235903</v>
      </c>
      <c r="AV106">
        <v>0.31051663764748849</v>
      </c>
      <c r="AW106">
        <v>0.3447656691656002</v>
      </c>
      <c r="AX106">
        <v>0.3818050238851512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4.8118294328210125E-2</v>
      </c>
      <c r="BO106">
        <v>4.7818845457641763E-2</v>
      </c>
      <c r="BP106">
        <v>4.7781423628129691E-2</v>
      </c>
      <c r="BQ106">
        <v>2.9241663055156224E-2</v>
      </c>
      <c r="BR106">
        <v>2.9239935998615321E-2</v>
      </c>
      <c r="BS106">
        <v>2.9239280204668986E-2</v>
      </c>
    </row>
    <row r="107" spans="1:71" x14ac:dyDescent="0.25">
      <c r="A107">
        <v>105</v>
      </c>
      <c r="B107">
        <v>249</v>
      </c>
      <c r="C107">
        <v>0.20990354898888577</v>
      </c>
      <c r="D107">
        <v>0.21209647310490087</v>
      </c>
      <c r="E107">
        <v>0.17085667161197263</v>
      </c>
      <c r="F107">
        <v>0.20699321247446029</v>
      </c>
      <c r="G107">
        <v>0.21006975373430922</v>
      </c>
      <c r="H107">
        <v>0.21321315666167903</v>
      </c>
      <c r="I107">
        <v>0.21641801566510946</v>
      </c>
      <c r="J107">
        <v>0.21967923812300136</v>
      </c>
      <c r="K107">
        <v>0.31978144866036917</v>
      </c>
      <c r="L107">
        <v>0.32309383107777628</v>
      </c>
      <c r="M107">
        <v>0.32644200904805926</v>
      </c>
      <c r="N107">
        <v>0.32982363196477776</v>
      </c>
      <c r="O107">
        <v>0.33323648305634751</v>
      </c>
      <c r="P107">
        <v>0.33667847641544685</v>
      </c>
      <c r="Q107">
        <v>0.34014765312252254</v>
      </c>
      <c r="R107">
        <v>0.34364217668572306</v>
      </c>
      <c r="S107">
        <v>0.34539840187492837</v>
      </c>
      <c r="T107">
        <v>0.2660000000000004</v>
      </c>
      <c r="U107">
        <v>0.2</v>
      </c>
      <c r="V107">
        <v>0.2</v>
      </c>
      <c r="X107">
        <v>0.81562523025455902</v>
      </c>
      <c r="Y107">
        <v>1.1168598484273917</v>
      </c>
      <c r="Z107">
        <v>1.1117219326583274</v>
      </c>
      <c r="AA107">
        <v>1.125988005749436</v>
      </c>
      <c r="AB107">
        <v>1.4214567827289595</v>
      </c>
      <c r="AC107">
        <v>1.7357247715304036</v>
      </c>
      <c r="AD107">
        <v>1.5078949734363343</v>
      </c>
      <c r="AE107">
        <v>2.2666607921396782</v>
      </c>
      <c r="AF107">
        <v>6.1562157465391651</v>
      </c>
      <c r="AG107">
        <v>8.4964491866800209</v>
      </c>
      <c r="AH107">
        <v>9.3530345010284002</v>
      </c>
      <c r="AI107">
        <v>9.5488489952171047</v>
      </c>
      <c r="AJ107">
        <v>9.6474477153326603</v>
      </c>
      <c r="AK107">
        <v>9.7690819055413325</v>
      </c>
      <c r="AL107">
        <v>9.0361543891439737</v>
      </c>
      <c r="AM107">
        <v>8.6904595096427251</v>
      </c>
      <c r="AN107">
        <v>8.6450429291850526</v>
      </c>
      <c r="AO107">
        <v>6.6504407581605758</v>
      </c>
      <c r="AP107">
        <v>5</v>
      </c>
      <c r="AQ107">
        <v>5</v>
      </c>
      <c r="AS107">
        <v>0.3598767009214266</v>
      </c>
      <c r="AT107">
        <v>0.40157932276522584</v>
      </c>
      <c r="AU107">
        <v>0.45490010038609491</v>
      </c>
      <c r="AV107">
        <v>0.31342743805019591</v>
      </c>
      <c r="AW107">
        <v>0.34757455921667524</v>
      </c>
      <c r="AX107">
        <v>0.38446797962952467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3.7639346986007766E-2</v>
      </c>
      <c r="BO107">
        <v>3.701909508338657E-2</v>
      </c>
      <c r="BP107">
        <v>3.6899315792939646E-2</v>
      </c>
      <c r="BQ107">
        <v>2.2569278887278499E-2</v>
      </c>
      <c r="BR107">
        <v>2.2564898013526916E-2</v>
      </c>
      <c r="BS107">
        <v>2.2563678779930329E-2</v>
      </c>
    </row>
    <row r="108" spans="1:71" x14ac:dyDescent="0.25">
      <c r="A108">
        <v>106</v>
      </c>
      <c r="B108">
        <v>250</v>
      </c>
      <c r="C108">
        <v>0.20839461720499033</v>
      </c>
      <c r="D108">
        <v>0.21166924440263868</v>
      </c>
      <c r="E108">
        <v>0.17050533976014551</v>
      </c>
      <c r="F108">
        <v>0.20669490055743403</v>
      </c>
      <c r="G108">
        <v>0.20978830170087115</v>
      </c>
      <c r="H108">
        <v>0.21295026692845617</v>
      </c>
      <c r="I108">
        <v>0.21617523249608334</v>
      </c>
      <c r="J108">
        <v>0.21945795372490501</v>
      </c>
      <c r="K108">
        <v>0.31958566849688419</v>
      </c>
      <c r="L108">
        <v>0.32292200446261266</v>
      </c>
      <c r="M108">
        <v>0.32629491214764433</v>
      </c>
      <c r="N108">
        <v>0.32970197366900145</v>
      </c>
      <c r="O108">
        <v>0.33314090928931894</v>
      </c>
      <c r="P108">
        <v>0.336609574451046</v>
      </c>
      <c r="Q108">
        <v>0.34010595583517544</v>
      </c>
      <c r="R108">
        <v>0.34362816668272389</v>
      </c>
      <c r="S108">
        <v>0.34539840187492837</v>
      </c>
      <c r="T108">
        <v>0.2660000000000004</v>
      </c>
      <c r="U108">
        <v>0.2</v>
      </c>
      <c r="V108">
        <v>0.2</v>
      </c>
      <c r="X108">
        <v>0.85196173280673015</v>
      </c>
      <c r="Y108">
        <v>1.1507650349279919</v>
      </c>
      <c r="Z108">
        <v>1.1426919912233671</v>
      </c>
      <c r="AA108">
        <v>1.1447718120399351</v>
      </c>
      <c r="AB108">
        <v>1.4400549176795976</v>
      </c>
      <c r="AC108">
        <v>1.754227128579636</v>
      </c>
      <c r="AD108">
        <v>1.5062014791540228</v>
      </c>
      <c r="AE108">
        <v>2.2643752670057569</v>
      </c>
      <c r="AF108">
        <v>6.1524444105747733</v>
      </c>
      <c r="AG108">
        <v>8.4919282308935404</v>
      </c>
      <c r="AH108">
        <v>9.3488180626674087</v>
      </c>
      <c r="AI108">
        <v>9.5453255201148597</v>
      </c>
      <c r="AJ108">
        <v>9.644679988840192</v>
      </c>
      <c r="AK108">
        <v>9.767082232968793</v>
      </c>
      <c r="AL108">
        <v>9.0350465487206808</v>
      </c>
      <c r="AM108">
        <v>8.6901051924603774</v>
      </c>
      <c r="AN108">
        <v>8.6450429291850526</v>
      </c>
      <c r="AO108">
        <v>6.6504407581605758</v>
      </c>
      <c r="AP108">
        <v>5</v>
      </c>
      <c r="AQ108">
        <v>5</v>
      </c>
      <c r="AS108">
        <v>0.36272479000263241</v>
      </c>
      <c r="AT108">
        <v>0.40377789199823505</v>
      </c>
      <c r="AU108">
        <v>0.4598255753965555</v>
      </c>
      <c r="AV108">
        <v>0.31636827929540268</v>
      </c>
      <c r="AW108">
        <v>0.35041294455774719</v>
      </c>
      <c r="AX108">
        <v>0.38716474863435885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3.9184591633377036E-2</v>
      </c>
      <c r="BO108">
        <v>3.8358001904322557E-2</v>
      </c>
      <c r="BP108">
        <v>3.8186273125751853E-2</v>
      </c>
      <c r="BQ108">
        <v>2.3349727010999195E-2</v>
      </c>
      <c r="BR108">
        <v>2.3343547035812616E-2</v>
      </c>
      <c r="BS108">
        <v>2.3341899710646319E-2</v>
      </c>
    </row>
    <row r="109" spans="1:71" x14ac:dyDescent="0.25">
      <c r="A109">
        <v>107</v>
      </c>
      <c r="B109">
        <v>251</v>
      </c>
      <c r="C109">
        <v>0.2067331919568039</v>
      </c>
      <c r="D109">
        <v>0.21132474606848606</v>
      </c>
      <c r="E109">
        <v>0.17021928937060349</v>
      </c>
      <c r="F109">
        <v>0.20645009136044876</v>
      </c>
      <c r="G109">
        <v>0.2095578184966258</v>
      </c>
      <c r="H109">
        <v>0.21273538898487537</v>
      </c>
      <c r="I109">
        <v>0.21597712014952544</v>
      </c>
      <c r="J109">
        <v>0.21927765279206654</v>
      </c>
      <c r="K109">
        <v>0.31942612958337369</v>
      </c>
      <c r="L109">
        <v>0.32278212863603423</v>
      </c>
      <c r="M109">
        <v>0.32617528061972162</v>
      </c>
      <c r="N109">
        <v>0.32960311697877004</v>
      </c>
      <c r="O109">
        <v>0.33306331055839061</v>
      </c>
      <c r="P109">
        <v>0.3365536726463752</v>
      </c>
      <c r="Q109">
        <v>0.34007214898515148</v>
      </c>
      <c r="R109">
        <v>0.34361681500479191</v>
      </c>
      <c r="S109">
        <v>0.34539840187492837</v>
      </c>
      <c r="T109">
        <v>0.2660000000000004</v>
      </c>
      <c r="U109">
        <v>0.2</v>
      </c>
      <c r="V109">
        <v>0.2</v>
      </c>
      <c r="X109">
        <v>0.89793346047365308</v>
      </c>
      <c r="Y109">
        <v>1.1953051607728513</v>
      </c>
      <c r="Z109">
        <v>1.1837234068223805</v>
      </c>
      <c r="AA109">
        <v>1.1698916364966319</v>
      </c>
      <c r="AB109">
        <v>1.4650835942977092</v>
      </c>
      <c r="AC109">
        <v>1.779247050360597</v>
      </c>
      <c r="AD109">
        <v>1.5048198647070035</v>
      </c>
      <c r="AE109">
        <v>2.2625133856524173</v>
      </c>
      <c r="AF109">
        <v>6.1493715426851701</v>
      </c>
      <c r="AG109">
        <v>8.4882483013833152</v>
      </c>
      <c r="AH109">
        <v>9.3453891903537762</v>
      </c>
      <c r="AI109">
        <v>9.5424626245914528</v>
      </c>
      <c r="AJ109">
        <v>9.6424329237819322</v>
      </c>
      <c r="AK109">
        <v>9.76545991365521</v>
      </c>
      <c r="AL109">
        <v>9.034148367365507</v>
      </c>
      <c r="AM109">
        <v>8.6898181073381355</v>
      </c>
      <c r="AN109">
        <v>8.6450429291850526</v>
      </c>
      <c r="AO109">
        <v>6.6504407581605758</v>
      </c>
      <c r="AP109">
        <v>5</v>
      </c>
      <c r="AQ109">
        <v>5</v>
      </c>
      <c r="AS109">
        <v>0.36577870268977614</v>
      </c>
      <c r="AT109">
        <v>0.4060929200440454</v>
      </c>
      <c r="AU109">
        <v>0.46556401974548151</v>
      </c>
      <c r="AV109">
        <v>0.31968939643798588</v>
      </c>
      <c r="AW109">
        <v>0.35359692536208798</v>
      </c>
      <c r="AX109">
        <v>0.39016873790283207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4.902564035406657E-2</v>
      </c>
      <c r="BO109">
        <v>4.8731113260829469E-2</v>
      </c>
      <c r="BP109">
        <v>4.8690132852523722E-2</v>
      </c>
      <c r="BQ109">
        <v>2.9798415777131482E-2</v>
      </c>
      <c r="BR109">
        <v>2.9796508953724762E-2</v>
      </c>
      <c r="BS109">
        <v>2.9795805795115975E-2</v>
      </c>
    </row>
    <row r="110" spans="1:71" x14ac:dyDescent="0.25">
      <c r="A110">
        <v>108</v>
      </c>
      <c r="B110">
        <v>252</v>
      </c>
      <c r="C110">
        <v>0.20518382265329149</v>
      </c>
      <c r="D110">
        <v>0.21109020925748317</v>
      </c>
      <c r="E110">
        <v>0.17002626070891982</v>
      </c>
      <c r="F110">
        <v>0.20628593815423907</v>
      </c>
      <c r="G110">
        <v>0.20940294135306334</v>
      </c>
      <c r="H110">
        <v>0.21259072692843445</v>
      </c>
      <c r="I110">
        <v>0.21584352476062527</v>
      </c>
      <c r="J110">
        <v>0.21915589137614691</v>
      </c>
      <c r="K110">
        <v>0.31931833238279905</v>
      </c>
      <c r="L110">
        <v>0.32268752829361241</v>
      </c>
      <c r="M110">
        <v>0.32609430238820908</v>
      </c>
      <c r="N110">
        <v>0.32953614884727644</v>
      </c>
      <c r="O110">
        <v>0.33301070565470825</v>
      </c>
      <c r="P110">
        <v>0.33651575164619957</v>
      </c>
      <c r="Q110">
        <v>0.34004920248746423</v>
      </c>
      <c r="R110">
        <v>0.34360910584200294</v>
      </c>
      <c r="S110">
        <v>0.34539840187492837</v>
      </c>
      <c r="T110">
        <v>0.2660000000000004</v>
      </c>
      <c r="U110">
        <v>0.2</v>
      </c>
      <c r="V110">
        <v>0.2</v>
      </c>
      <c r="X110">
        <v>0.94518890485519358</v>
      </c>
      <c r="Y110">
        <v>1.2420353896578948</v>
      </c>
      <c r="Z110">
        <v>1.2273143283238601</v>
      </c>
      <c r="AA110">
        <v>1.1966716666712629</v>
      </c>
      <c r="AB110">
        <v>1.4918399113643988</v>
      </c>
      <c r="AC110">
        <v>1.8060423217548507</v>
      </c>
      <c r="AD110">
        <v>1.5038884631499116</v>
      </c>
      <c r="AE110">
        <v>2.2612563497057936</v>
      </c>
      <c r="AF110">
        <v>6.1472956047562439</v>
      </c>
      <c r="AG110">
        <v>8.4857598531928371</v>
      </c>
      <c r="AH110">
        <v>9.3430684718257648</v>
      </c>
      <c r="AI110">
        <v>9.5405234112637132</v>
      </c>
      <c r="AJ110">
        <v>9.6409097317445394</v>
      </c>
      <c r="AK110">
        <v>9.7643594718325328</v>
      </c>
      <c r="AL110">
        <v>9.0335387436313486</v>
      </c>
      <c r="AM110">
        <v>8.6896231438716356</v>
      </c>
      <c r="AN110">
        <v>8.6450429291850526</v>
      </c>
      <c r="AO110">
        <v>6.6504407581605758</v>
      </c>
      <c r="AP110">
        <v>5</v>
      </c>
      <c r="AQ110">
        <v>5</v>
      </c>
      <c r="AS110">
        <v>0.3695188893935048</v>
      </c>
      <c r="AT110">
        <v>0.40885914890013098</v>
      </c>
      <c r="AU110">
        <v>0.47144575713269804</v>
      </c>
      <c r="AV110">
        <v>0.32308377252509785</v>
      </c>
      <c r="AW110">
        <v>0.35686157126135315</v>
      </c>
      <c r="AX110">
        <v>0.39326684211394869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5.0995631085269097E-2</v>
      </c>
      <c r="BO110">
        <v>5.0824530045235891E-2</v>
      </c>
      <c r="BP110">
        <v>5.0816525089539911E-2</v>
      </c>
      <c r="BQ110">
        <v>3.1105354172042347E-2</v>
      </c>
      <c r="BR110">
        <v>3.1104557879659947E-2</v>
      </c>
      <c r="BS110">
        <v>3.1104103565806038E-2</v>
      </c>
    </row>
    <row r="111" spans="1:71" x14ac:dyDescent="0.25">
      <c r="A111">
        <v>109</v>
      </c>
      <c r="B111">
        <v>253</v>
      </c>
      <c r="C111">
        <v>0.20608884234008482</v>
      </c>
      <c r="D111">
        <v>0.21092045863784142</v>
      </c>
      <c r="E111">
        <v>0.16988617885358528</v>
      </c>
      <c r="F111">
        <v>0.20616653534318674</v>
      </c>
      <c r="G111">
        <v>0.20929034943656485</v>
      </c>
      <c r="H111">
        <v>0.2124856138210916</v>
      </c>
      <c r="I111">
        <v>0.21574649614928421</v>
      </c>
      <c r="J111">
        <v>0.21906749292674452</v>
      </c>
      <c r="K111">
        <v>0.31924006275366984</v>
      </c>
      <c r="L111">
        <v>0.32261886015195756</v>
      </c>
      <c r="M111">
        <v>0.32603553762015491</v>
      </c>
      <c r="N111">
        <v>0.32948756280015506</v>
      </c>
      <c r="O111">
        <v>0.33297254885075822</v>
      </c>
      <c r="P111">
        <v>0.33648825150220996</v>
      </c>
      <c r="Q111">
        <v>0.34003256501085038</v>
      </c>
      <c r="R111">
        <v>0.34360351728056399</v>
      </c>
      <c r="S111">
        <v>0.34539840187492837</v>
      </c>
      <c r="T111">
        <v>0.2660000000000004</v>
      </c>
      <c r="U111">
        <v>0.2</v>
      </c>
      <c r="V111">
        <v>0.2</v>
      </c>
      <c r="X111">
        <v>1.0056291007542755</v>
      </c>
      <c r="Y111">
        <v>1.3033155048203904</v>
      </c>
      <c r="Z111">
        <v>1.2847675226910393</v>
      </c>
      <c r="AA111">
        <v>1.2321646517016109</v>
      </c>
      <c r="AB111">
        <v>1.5273964524942603</v>
      </c>
      <c r="AC111">
        <v>1.8417171553727478</v>
      </c>
      <c r="AD111">
        <v>1.5032121128415838</v>
      </c>
      <c r="AE111">
        <v>2.2603438840891714</v>
      </c>
      <c r="AF111">
        <v>6.1457884425818552</v>
      </c>
      <c r="AG111">
        <v>8.4839536929473578</v>
      </c>
      <c r="AH111">
        <v>9.3413844736467055</v>
      </c>
      <c r="AI111">
        <v>9.5391165711508918</v>
      </c>
      <c r="AJ111">
        <v>9.6398049370586012</v>
      </c>
      <c r="AK111">
        <v>9.763561460935442</v>
      </c>
      <c r="AL111">
        <v>9.0330967409967418</v>
      </c>
      <c r="AM111">
        <v>8.6894818109388261</v>
      </c>
      <c r="AN111">
        <v>8.6450429291850526</v>
      </c>
      <c r="AO111">
        <v>6.6504407581605758</v>
      </c>
      <c r="AP111">
        <v>5</v>
      </c>
      <c r="AQ111">
        <v>5</v>
      </c>
      <c r="AS111">
        <v>0.37393451214256285</v>
      </c>
      <c r="AT111">
        <v>0.41162251846525277</v>
      </c>
      <c r="AU111">
        <v>0.4781153317874256</v>
      </c>
      <c r="AV111">
        <v>0.32678295042376904</v>
      </c>
      <c r="AW111">
        <v>0.36039015349811587</v>
      </c>
      <c r="AX111">
        <v>0.39658651137277218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6.4855818648139926E-2</v>
      </c>
      <c r="BO111">
        <v>6.5043085612107421E-2</v>
      </c>
      <c r="BP111">
        <v>6.5134766992256024E-2</v>
      </c>
      <c r="BQ111">
        <v>3.988522381142362E-2</v>
      </c>
      <c r="BR111">
        <v>3.9887688392587772E-2</v>
      </c>
      <c r="BS111">
        <v>3.9887922045286975E-2</v>
      </c>
    </row>
    <row r="112" spans="1:71" x14ac:dyDescent="0.25">
      <c r="A112">
        <v>110</v>
      </c>
      <c r="B112">
        <v>254</v>
      </c>
      <c r="C112">
        <v>0.20453180350622593</v>
      </c>
      <c r="D112">
        <v>0.21080766679353419</v>
      </c>
      <c r="E112">
        <v>0.1697934059238605</v>
      </c>
      <c r="F112">
        <v>0.20608763912256853</v>
      </c>
      <c r="G112">
        <v>0.20921589321503647</v>
      </c>
      <c r="H112">
        <v>0.21241605382818624</v>
      </c>
      <c r="I112">
        <v>0.21568224608789607</v>
      </c>
      <c r="J112">
        <v>0.21900892545917786</v>
      </c>
      <c r="K112">
        <v>0.31918819337781978</v>
      </c>
      <c r="L112">
        <v>0.32257333776369412</v>
      </c>
      <c r="M112">
        <v>0.32599656812441052</v>
      </c>
      <c r="N112">
        <v>0.32945533395760113</v>
      </c>
      <c r="O112">
        <v>0.33294723145106753</v>
      </c>
      <c r="P112">
        <v>0.33647000054182941</v>
      </c>
      <c r="Q112">
        <v>0.34002152085486886</v>
      </c>
      <c r="R112">
        <v>0.34359980679294022</v>
      </c>
      <c r="S112">
        <v>0.34539840187492837</v>
      </c>
      <c r="T112">
        <v>0.2660000000000004</v>
      </c>
      <c r="U112">
        <v>0.2</v>
      </c>
      <c r="V112">
        <v>0.2</v>
      </c>
      <c r="X112">
        <v>1.044881539653211</v>
      </c>
      <c r="Y112">
        <v>1.3420451398370059</v>
      </c>
      <c r="Z112">
        <v>1.3219518637428744</v>
      </c>
      <c r="AA112">
        <v>1.2549346257243483</v>
      </c>
      <c r="AB112">
        <v>1.5501559531941969</v>
      </c>
      <c r="AC112">
        <v>1.8644998275248927</v>
      </c>
      <c r="AD112">
        <v>1.5027643176601015</v>
      </c>
      <c r="AE112">
        <v>2.2597394218881748</v>
      </c>
      <c r="AF112">
        <v>6.1447897270364908</v>
      </c>
      <c r="AG112">
        <v>8.4827564153400488</v>
      </c>
      <c r="AH112">
        <v>9.3402678083867396</v>
      </c>
      <c r="AI112">
        <v>9.5381834107057966</v>
      </c>
      <c r="AJ112">
        <v>9.6390719236214011</v>
      </c>
      <c r="AK112">
        <v>9.7630318613482263</v>
      </c>
      <c r="AL112">
        <v>9.0328033391874882</v>
      </c>
      <c r="AM112">
        <v>8.6893879744055127</v>
      </c>
      <c r="AN112">
        <v>8.6450429291850526</v>
      </c>
      <c r="AO112">
        <v>6.6504407581605758</v>
      </c>
      <c r="AP112">
        <v>5</v>
      </c>
      <c r="AQ112">
        <v>5</v>
      </c>
      <c r="AS112">
        <v>0.37850543521543978</v>
      </c>
      <c r="AT112">
        <v>0.41556596567143594</v>
      </c>
      <c r="AU112">
        <v>0.48352301143853638</v>
      </c>
      <c r="AV112">
        <v>0.3300331259101707</v>
      </c>
      <c r="AW112">
        <v>0.36357594564548551</v>
      </c>
      <c r="AX112">
        <v>0.39968866946094339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4.3823361971812483E-2</v>
      </c>
      <c r="BO112">
        <v>4.3370416251199244E-2</v>
      </c>
      <c r="BP112">
        <v>4.3294001127019296E-2</v>
      </c>
      <c r="BQ112">
        <v>2.6491857247713024E-2</v>
      </c>
      <c r="BR112">
        <v>2.6488866124082168E-2</v>
      </c>
      <c r="BS112">
        <v>2.6487938291485751E-2</v>
      </c>
    </row>
    <row r="113" spans="1:71" x14ac:dyDescent="0.25">
      <c r="A113">
        <v>111</v>
      </c>
      <c r="B113">
        <v>255</v>
      </c>
      <c r="C113">
        <v>0.20312357073092288</v>
      </c>
      <c r="D113">
        <v>0.21074173968892435</v>
      </c>
      <c r="E113">
        <v>0.16973986410482048</v>
      </c>
      <c r="F113">
        <v>0.20604254222413748</v>
      </c>
      <c r="G113">
        <v>0.20917320393407954</v>
      </c>
      <c r="H113">
        <v>0.21237606477671978</v>
      </c>
      <c r="I113">
        <v>0.21564522259677593</v>
      </c>
      <c r="J113">
        <v>0.21897510652102459</v>
      </c>
      <c r="K113">
        <v>0.31915822687168732</v>
      </c>
      <c r="L113">
        <v>0.32254700233256012</v>
      </c>
      <c r="M113">
        <v>0.32597399570628421</v>
      </c>
      <c r="N113">
        <v>0.32943664484620466</v>
      </c>
      <c r="O113">
        <v>0.33293253504938386</v>
      </c>
      <c r="P113">
        <v>0.33645939611876313</v>
      </c>
      <c r="Q113">
        <v>0.3400150982918117</v>
      </c>
      <c r="R113">
        <v>0.34359764731006043</v>
      </c>
      <c r="S113">
        <v>0.34539840187492837</v>
      </c>
      <c r="T113">
        <v>0.2660000000000004</v>
      </c>
      <c r="U113">
        <v>0.2</v>
      </c>
      <c r="V113">
        <v>0.2</v>
      </c>
      <c r="X113">
        <v>1.0770841080897344</v>
      </c>
      <c r="Y113">
        <v>1.3739640048428783</v>
      </c>
      <c r="Z113">
        <v>1.3528633085601045</v>
      </c>
      <c r="AA113">
        <v>1.2738293709773922</v>
      </c>
      <c r="AB113">
        <v>1.5690449291519095</v>
      </c>
      <c r="AC113">
        <v>1.8834064838167099</v>
      </c>
      <c r="AD113">
        <v>1.5025063124944846</v>
      </c>
      <c r="AE113">
        <v>2.2593904233697342</v>
      </c>
      <c r="AF113">
        <v>6.1442127784776446</v>
      </c>
      <c r="AG113">
        <v>8.4820638122596073</v>
      </c>
      <c r="AH113">
        <v>9.3396210315482193</v>
      </c>
      <c r="AI113">
        <v>9.5376423046234233</v>
      </c>
      <c r="AJ113">
        <v>9.638646432995122</v>
      </c>
      <c r="AK113">
        <v>9.7627241531330249</v>
      </c>
      <c r="AL113">
        <v>9.0326327180905999</v>
      </c>
      <c r="AM113">
        <v>8.6893333623186333</v>
      </c>
      <c r="AN113">
        <v>8.6450429291850526</v>
      </c>
      <c r="AO113">
        <v>6.6504407581605758</v>
      </c>
      <c r="AP113">
        <v>5</v>
      </c>
      <c r="AQ113">
        <v>5</v>
      </c>
      <c r="AS113">
        <v>0.38308109456876299</v>
      </c>
      <c r="AT113">
        <v>0.4193886050059491</v>
      </c>
      <c r="AU113">
        <v>0.48823659296278016</v>
      </c>
      <c r="AV113">
        <v>0.3329103796084808</v>
      </c>
      <c r="AW113">
        <v>0.36641291839503298</v>
      </c>
      <c r="AX113">
        <v>0.40247204465898134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3.677822778984665E-2</v>
      </c>
      <c r="BO113">
        <v>3.6161341200685398E-2</v>
      </c>
      <c r="BP113">
        <v>3.6042015643553485E-2</v>
      </c>
      <c r="BQ113">
        <v>2.2046668729463755E-2</v>
      </c>
      <c r="BR113">
        <v>2.2042313527267557E-2</v>
      </c>
      <c r="BS113">
        <v>2.2041104854174574E-2</v>
      </c>
    </row>
    <row r="114" spans="1:71" x14ac:dyDescent="0.25">
      <c r="A114">
        <v>112</v>
      </c>
      <c r="B114">
        <v>256</v>
      </c>
      <c r="C114">
        <v>0.20217586027040826</v>
      </c>
      <c r="D114">
        <v>0.21071494119385578</v>
      </c>
      <c r="E114">
        <v>0.16971939143238535</v>
      </c>
      <c r="F114">
        <v>0.20602614215240458</v>
      </c>
      <c r="G114">
        <v>0.20915742985367874</v>
      </c>
      <c r="H114">
        <v>0.21236108396594675</v>
      </c>
      <c r="I114">
        <v>0.21563118674010059</v>
      </c>
      <c r="J114">
        <v>0.21896215224336579</v>
      </c>
      <c r="K114">
        <v>0.31914672345163936</v>
      </c>
      <c r="L114">
        <v>0.32253682447250093</v>
      </c>
      <c r="M114">
        <v>0.32596521879795143</v>
      </c>
      <c r="N114">
        <v>0.32942933762215892</v>
      </c>
      <c r="O114">
        <v>0.33292676001400945</v>
      </c>
      <c r="P114">
        <v>0.33645520998116091</v>
      </c>
      <c r="Q114">
        <v>0.34001255239298689</v>
      </c>
      <c r="R114">
        <v>0.34359678803854948</v>
      </c>
      <c r="S114">
        <v>0.34539840187492837</v>
      </c>
      <c r="T114">
        <v>0.2660000000000004</v>
      </c>
      <c r="U114">
        <v>0.2</v>
      </c>
      <c r="V114">
        <v>0.2</v>
      </c>
      <c r="X114">
        <v>1.1004987223256895</v>
      </c>
      <c r="Y114">
        <v>1.3971035320115703</v>
      </c>
      <c r="Z114">
        <v>1.3754460411376275</v>
      </c>
      <c r="AA114">
        <v>1.2875976287919486</v>
      </c>
      <c r="AB114">
        <v>1.5828100893693373</v>
      </c>
      <c r="AC114">
        <v>1.8971833027424878</v>
      </c>
      <c r="AD114">
        <v>1.5024085114130419</v>
      </c>
      <c r="AE114">
        <v>2.2592567529130632</v>
      </c>
      <c r="AF114">
        <v>6.1439913146327685</v>
      </c>
      <c r="AG114">
        <v>8.4817961551986336</v>
      </c>
      <c r="AH114">
        <v>9.3393695538047989</v>
      </c>
      <c r="AI114">
        <v>9.5374307457814247</v>
      </c>
      <c r="AJ114">
        <v>9.6384792384923124</v>
      </c>
      <c r="AK114">
        <v>9.7626026864252271</v>
      </c>
      <c r="AL114">
        <v>9.0325650847962997</v>
      </c>
      <c r="AM114">
        <v>8.6893116319158263</v>
      </c>
      <c r="AN114">
        <v>8.6450429291850526</v>
      </c>
      <c r="AO114">
        <v>6.6504407581605758</v>
      </c>
      <c r="AP114">
        <v>5</v>
      </c>
      <c r="AQ114">
        <v>5</v>
      </c>
      <c r="AS114">
        <v>0.38700521036964158</v>
      </c>
      <c r="AT114">
        <v>0.42265095923249302</v>
      </c>
      <c r="AU114">
        <v>0.4919073009456163</v>
      </c>
      <c r="AV114">
        <v>0.33518940158646021</v>
      </c>
      <c r="AW114">
        <v>0.36867247873749798</v>
      </c>
      <c r="AX114">
        <v>0.40470396114594887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2.7338730036833812E-2</v>
      </c>
      <c r="BO114">
        <v>2.6576620630145448E-2</v>
      </c>
      <c r="BP114">
        <v>2.6416631855896298E-2</v>
      </c>
      <c r="BQ114">
        <v>1.6148679026833389E-2</v>
      </c>
      <c r="BR114">
        <v>1.6143053630260775E-2</v>
      </c>
      <c r="BS114">
        <v>1.6141598532559035E-2</v>
      </c>
    </row>
    <row r="115" spans="1:71" x14ac:dyDescent="0.25">
      <c r="A115">
        <v>113</v>
      </c>
      <c r="B115">
        <v>257</v>
      </c>
      <c r="C115">
        <v>0.20154485777775777</v>
      </c>
      <c r="D115">
        <v>0.21070661246244629</v>
      </c>
      <c r="E115">
        <v>0.16971356372986673</v>
      </c>
      <c r="F115">
        <v>0.20602184550969799</v>
      </c>
      <c r="G115">
        <v>0.20915318171871103</v>
      </c>
      <c r="H115">
        <v>0.21235695632204149</v>
      </c>
      <c r="I115">
        <v>0.21562724486386917</v>
      </c>
      <c r="J115">
        <v>0.21895845493267249</v>
      </c>
      <c r="K115">
        <v>0.31914342946070423</v>
      </c>
      <c r="L115">
        <v>0.32253388007729095</v>
      </c>
      <c r="M115">
        <v>0.32596265644137218</v>
      </c>
      <c r="N115">
        <v>0.32942718688103473</v>
      </c>
      <c r="O115">
        <v>0.33292504778447984</v>
      </c>
      <c r="P115">
        <v>0.33645396066494276</v>
      </c>
      <c r="Q115">
        <v>0.34001178808121896</v>
      </c>
      <c r="R115">
        <v>0.34359652869068719</v>
      </c>
      <c r="S115">
        <v>0.34539840187492837</v>
      </c>
      <c r="T115">
        <v>0.2660000000000004</v>
      </c>
      <c r="U115">
        <v>0.2</v>
      </c>
      <c r="V115">
        <v>0.2</v>
      </c>
      <c r="X115">
        <v>1.1286084665178076</v>
      </c>
      <c r="Y115">
        <v>1.4256397696345491</v>
      </c>
      <c r="Z115">
        <v>1.4033374310344027</v>
      </c>
      <c r="AA115">
        <v>1.3046657564847906</v>
      </c>
      <c r="AB115">
        <v>1.5998991642164062</v>
      </c>
      <c r="AC115">
        <v>1.9143046816554399</v>
      </c>
      <c r="AD115">
        <v>1.5023810459208924</v>
      </c>
      <c r="AE115">
        <v>2.2592186033282298</v>
      </c>
      <c r="AF115">
        <v>6.1439279003499481</v>
      </c>
      <c r="AG115">
        <v>8.4817187253175739</v>
      </c>
      <c r="AH115">
        <v>9.3392961380482724</v>
      </c>
      <c r="AI115">
        <v>9.5373684784721657</v>
      </c>
      <c r="AJ115">
        <v>9.6384296679091364</v>
      </c>
      <c r="AK115">
        <v>9.7625664360632367</v>
      </c>
      <c r="AL115">
        <v>9.0325447805126515</v>
      </c>
      <c r="AM115">
        <v>8.6893050731929975</v>
      </c>
      <c r="AN115">
        <v>8.6450429291850526</v>
      </c>
      <c r="AO115">
        <v>6.6504407581605758</v>
      </c>
      <c r="AP115">
        <v>5</v>
      </c>
      <c r="AQ115">
        <v>5</v>
      </c>
      <c r="AS115">
        <v>0.39139745707077073</v>
      </c>
      <c r="AT115">
        <v>0.42625154834177181</v>
      </c>
      <c r="AU115">
        <v>0.49611260203140906</v>
      </c>
      <c r="AV115">
        <v>0.33776548562464215</v>
      </c>
      <c r="AW115">
        <v>0.37122041140947087</v>
      </c>
      <c r="AX115">
        <v>0.40721424664964795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3.2501990893247283E-2</v>
      </c>
      <c r="BO115">
        <v>3.2192050913090763E-2</v>
      </c>
      <c r="BP115">
        <v>3.2143921682236037E-2</v>
      </c>
      <c r="BQ115">
        <v>1.9671064936552327E-2</v>
      </c>
      <c r="BR115">
        <v>1.9669156161642529E-2</v>
      </c>
      <c r="BS115">
        <v>1.9668540520134292E-2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BA365-7CB7-4098-84F4-9C0D14FC6616}">
  <sheetPr codeName="Sheet2"/>
  <dimension ref="A1"/>
  <sheetViews>
    <sheetView topLeftCell="A22" workbookViewId="0">
      <selection activeCell="Y54" sqref="Y5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BDD8C-ECEF-46AB-9D55-13504A887C77}">
  <sheetPr codeName="Sheet10"/>
  <dimension ref="A1"/>
  <sheetViews>
    <sheetView workbookViewId="0">
      <selection activeCell="M5" sqref="M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8CFE8-C4D8-4F18-883E-4FC3E0CA4596}">
  <sheetPr codeName="Sheet8"/>
  <dimension ref="B2:P37"/>
  <sheetViews>
    <sheetView workbookViewId="0">
      <selection activeCell="Q19" sqref="Q19"/>
    </sheetView>
  </sheetViews>
  <sheetFormatPr defaultRowHeight="15" x14ac:dyDescent="0.25"/>
  <cols>
    <col min="11" max="11" width="12.28515625" customWidth="1"/>
    <col min="12" max="12" width="12.5703125" customWidth="1"/>
  </cols>
  <sheetData>
    <row r="2" spans="2:16" ht="15.75" thickBot="1" x14ac:dyDescent="0.3">
      <c r="B2" t="s">
        <v>183</v>
      </c>
      <c r="J2" t="s">
        <v>184</v>
      </c>
    </row>
    <row r="3" spans="2:16" ht="15.75" thickTop="1" x14ac:dyDescent="0.25">
      <c r="B3" s="83">
        <v>0</v>
      </c>
      <c r="C3" s="84" t="s">
        <v>170</v>
      </c>
      <c r="D3" s="84"/>
      <c r="E3" s="84"/>
      <c r="F3" s="84"/>
      <c r="G3" s="84"/>
      <c r="H3" s="85"/>
      <c r="J3" s="83">
        <v>0</v>
      </c>
      <c r="K3" s="84" t="s">
        <v>170</v>
      </c>
      <c r="L3" s="84"/>
      <c r="M3" s="84"/>
      <c r="N3" s="84"/>
      <c r="O3" s="84"/>
      <c r="P3" s="85"/>
    </row>
    <row r="4" spans="2:16" x14ac:dyDescent="0.25">
      <c r="B4" s="86">
        <v>0</v>
      </c>
      <c r="C4" s="112" t="s">
        <v>171</v>
      </c>
      <c r="D4" s="112"/>
      <c r="E4" s="112"/>
      <c r="F4" s="112"/>
      <c r="G4" s="112"/>
      <c r="H4" s="87"/>
      <c r="J4" s="86">
        <v>0</v>
      </c>
      <c r="K4" s="112" t="s">
        <v>171</v>
      </c>
      <c r="L4" s="112"/>
      <c r="M4" s="112"/>
      <c r="N4" s="112"/>
      <c r="O4" s="112"/>
      <c r="P4" s="87"/>
    </row>
    <row r="5" spans="2:16" x14ac:dyDescent="0.25">
      <c r="B5" s="86">
        <v>15.68085750997534</v>
      </c>
      <c r="C5" s="112" t="s">
        <v>172</v>
      </c>
      <c r="D5" s="112"/>
      <c r="E5" s="112"/>
      <c r="F5" s="112"/>
      <c r="G5" s="112"/>
      <c r="H5" s="87"/>
      <c r="J5" s="86">
        <v>18.512572054291169</v>
      </c>
      <c r="K5" s="112" t="s">
        <v>172</v>
      </c>
      <c r="L5" s="112"/>
      <c r="M5" s="112"/>
      <c r="N5" s="112"/>
      <c r="O5" s="112"/>
      <c r="P5" s="87"/>
    </row>
    <row r="6" spans="2:16" x14ac:dyDescent="0.25">
      <c r="B6" s="86">
        <v>10.613173841403707</v>
      </c>
      <c r="C6" s="112" t="s">
        <v>173</v>
      </c>
      <c r="D6" s="112"/>
      <c r="E6" s="112"/>
      <c r="F6" s="112"/>
      <c r="G6" s="112"/>
      <c r="H6" s="87"/>
      <c r="J6" s="86">
        <v>12.821551600504298</v>
      </c>
      <c r="K6" s="112" t="s">
        <v>173</v>
      </c>
      <c r="L6" s="112"/>
      <c r="M6" s="112"/>
      <c r="N6" s="112"/>
      <c r="O6" s="112"/>
      <c r="P6" s="87"/>
    </row>
    <row r="7" spans="2:16" x14ac:dyDescent="0.25">
      <c r="B7" s="86">
        <v>108.45869580600414</v>
      </c>
      <c r="C7" s="112" t="s">
        <v>174</v>
      </c>
      <c r="D7" s="112"/>
      <c r="E7" s="112"/>
      <c r="F7" s="112"/>
      <c r="G7" s="112"/>
      <c r="H7" s="87"/>
      <c r="J7" s="86">
        <v>108.66520608714126</v>
      </c>
      <c r="K7" s="112" t="s">
        <v>174</v>
      </c>
      <c r="L7" s="112"/>
      <c r="M7" s="112"/>
      <c r="N7" s="112"/>
      <c r="O7" s="112"/>
      <c r="P7" s="87"/>
    </row>
    <row r="8" spans="2:16" x14ac:dyDescent="0.25">
      <c r="B8" s="86">
        <v>2.429961751127713</v>
      </c>
      <c r="C8" s="112" t="s">
        <v>175</v>
      </c>
      <c r="D8" s="112"/>
      <c r="E8" s="112"/>
      <c r="F8" s="112"/>
      <c r="G8" s="112"/>
      <c r="H8" s="87"/>
      <c r="J8" s="86">
        <v>3.6659847623285078</v>
      </c>
      <c r="K8" s="112" t="s">
        <v>175</v>
      </c>
      <c r="L8" s="112"/>
      <c r="M8" s="112"/>
      <c r="N8" s="112"/>
      <c r="O8" s="112"/>
      <c r="P8" s="87"/>
    </row>
    <row r="9" spans="2:16" x14ac:dyDescent="0.25">
      <c r="B9" s="86">
        <v>487.98585010609725</v>
      </c>
      <c r="C9" s="112" t="s">
        <v>176</v>
      </c>
      <c r="D9" s="112"/>
      <c r="E9" s="112"/>
      <c r="F9" s="112"/>
      <c r="G9" s="112"/>
      <c r="H9" s="87"/>
      <c r="J9" s="86">
        <v>537.98585010609725</v>
      </c>
      <c r="K9" s="112" t="s">
        <v>176</v>
      </c>
      <c r="L9" s="112"/>
      <c r="M9" s="112"/>
      <c r="N9" s="112"/>
      <c r="O9" s="112"/>
      <c r="P9" s="87"/>
    </row>
    <row r="10" spans="2:16" ht="15.75" thickBot="1" x14ac:dyDescent="0.3">
      <c r="B10" s="86">
        <v>0</v>
      </c>
      <c r="C10" s="112" t="s">
        <v>177</v>
      </c>
      <c r="D10" s="112"/>
      <c r="E10" s="112"/>
      <c r="F10" s="112"/>
      <c r="G10" s="112"/>
      <c r="H10" s="87"/>
      <c r="J10" s="88">
        <v>300</v>
      </c>
      <c r="K10" s="89" t="s">
        <v>177</v>
      </c>
      <c r="L10" s="89"/>
      <c r="M10" s="89"/>
      <c r="N10" s="89"/>
      <c r="O10" s="89"/>
      <c r="P10" s="90"/>
    </row>
    <row r="11" spans="2:16" ht="15.75" thickTop="1" x14ac:dyDescent="0.25">
      <c r="B11" s="86">
        <v>367.47646671181644</v>
      </c>
      <c r="C11" s="112" t="s">
        <v>202</v>
      </c>
      <c r="D11" s="112"/>
      <c r="E11" s="112"/>
      <c r="F11" s="112"/>
      <c r="G11" s="112"/>
      <c r="H11" s="87"/>
    </row>
    <row r="12" spans="2:16" x14ac:dyDescent="0.25">
      <c r="B12" s="86">
        <v>84.584126675414012</v>
      </c>
      <c r="C12" s="112" t="s">
        <v>226</v>
      </c>
      <c r="D12" s="112"/>
      <c r="E12" s="112"/>
      <c r="F12" s="112"/>
      <c r="G12" s="112"/>
      <c r="H12" s="87"/>
      <c r="J12" s="81" t="s">
        <v>178</v>
      </c>
      <c r="K12" s="81" t="s">
        <v>6</v>
      </c>
      <c r="M12" s="81" t="s">
        <v>178</v>
      </c>
      <c r="N12" s="81" t="s">
        <v>73</v>
      </c>
    </row>
    <row r="13" spans="2:16" x14ac:dyDescent="0.25">
      <c r="B13" s="86">
        <v>328.80129043619166</v>
      </c>
      <c r="C13" s="112" t="s">
        <v>203</v>
      </c>
      <c r="D13" s="112"/>
      <c r="E13" s="112"/>
      <c r="F13" s="112"/>
      <c r="G13" s="112"/>
      <c r="H13" s="87"/>
      <c r="J13" s="81"/>
      <c r="K13" s="81" t="s">
        <v>179</v>
      </c>
      <c r="M13" s="81"/>
      <c r="N13" s="81" t="s">
        <v>201</v>
      </c>
    </row>
    <row r="14" spans="2:16" x14ac:dyDescent="0.25">
      <c r="B14" s="86">
        <v>15289.597419619873</v>
      </c>
      <c r="C14" s="112" t="s">
        <v>204</v>
      </c>
      <c r="D14" s="112"/>
      <c r="E14" s="112"/>
      <c r="F14" s="112"/>
      <c r="G14" s="112"/>
      <c r="H14" s="87"/>
      <c r="J14" s="82">
        <v>129</v>
      </c>
      <c r="K14" s="82">
        <v>50</v>
      </c>
      <c r="M14" s="82">
        <v>130</v>
      </c>
      <c r="N14" s="82">
        <v>300</v>
      </c>
    </row>
    <row r="15" spans="2:16" ht="15.75" thickBot="1" x14ac:dyDescent="0.3">
      <c r="B15" s="88">
        <v>15289.597419619871</v>
      </c>
      <c r="C15" s="89" t="s">
        <v>205</v>
      </c>
      <c r="D15" s="89"/>
      <c r="E15" s="89"/>
      <c r="F15" s="89"/>
      <c r="G15" s="89"/>
      <c r="H15" s="90"/>
      <c r="J15" s="82">
        <v>175</v>
      </c>
      <c r="K15" s="82">
        <v>137.99352377482029</v>
      </c>
      <c r="M15" s="82"/>
      <c r="N15" s="82"/>
    </row>
    <row r="16" spans="2:16" ht="15.75" thickTop="1" x14ac:dyDescent="0.25">
      <c r="B16" s="81" t="s">
        <v>178</v>
      </c>
      <c r="C16" s="81" t="s">
        <v>179</v>
      </c>
      <c r="E16" s="81" t="s">
        <v>88</v>
      </c>
      <c r="F16" s="81" t="s">
        <v>73</v>
      </c>
      <c r="J16" s="82">
        <v>189</v>
      </c>
      <c r="K16" s="82">
        <v>118.1249296582638</v>
      </c>
      <c r="M16" s="82"/>
      <c r="N16" s="82"/>
    </row>
    <row r="17" spans="2:14" x14ac:dyDescent="0.25">
      <c r="B17" s="81"/>
      <c r="C17" s="81"/>
      <c r="E17" s="81"/>
      <c r="F17" s="81" t="s">
        <v>201</v>
      </c>
      <c r="J17" s="82">
        <v>203</v>
      </c>
      <c r="K17" s="82">
        <v>78.65381178473676</v>
      </c>
      <c r="M17" s="82"/>
      <c r="N17" s="82"/>
    </row>
    <row r="18" spans="2:14" x14ac:dyDescent="0.25">
      <c r="B18" s="82">
        <v>175</v>
      </c>
      <c r="C18" s="82">
        <v>137.99352377482029</v>
      </c>
      <c r="E18" s="82"/>
      <c r="F18" s="82"/>
      <c r="J18" s="82">
        <v>217</v>
      </c>
      <c r="K18" s="82">
        <v>76.726343862124239</v>
      </c>
      <c r="M18" s="82"/>
      <c r="N18" s="82"/>
    </row>
    <row r="19" spans="2:14" x14ac:dyDescent="0.25">
      <c r="B19" s="82">
        <v>189</v>
      </c>
      <c r="C19" s="82">
        <v>118.1249296582638</v>
      </c>
      <c r="E19" s="82"/>
      <c r="F19" s="82"/>
      <c r="J19" s="82">
        <v>231</v>
      </c>
      <c r="K19" s="82">
        <v>76.487241026152148</v>
      </c>
      <c r="M19" s="82"/>
      <c r="N19" s="82"/>
    </row>
    <row r="20" spans="2:14" x14ac:dyDescent="0.25">
      <c r="B20" s="82">
        <v>203</v>
      </c>
      <c r="C20" s="82">
        <v>78.65381178473676</v>
      </c>
      <c r="E20" s="82"/>
      <c r="F20" s="82"/>
      <c r="J20" s="82"/>
      <c r="K20" s="82"/>
      <c r="M20" s="82"/>
      <c r="N20" s="82"/>
    </row>
    <row r="21" spans="2:14" x14ac:dyDescent="0.25">
      <c r="B21" s="82">
        <v>217</v>
      </c>
      <c r="C21" s="82">
        <v>76.726343862124239</v>
      </c>
      <c r="E21" s="82"/>
      <c r="F21" s="82"/>
      <c r="J21" s="82"/>
      <c r="K21" s="82"/>
      <c r="M21" s="82"/>
      <c r="N21" s="82"/>
    </row>
    <row r="22" spans="2:14" x14ac:dyDescent="0.25">
      <c r="B22" s="82">
        <v>231</v>
      </c>
      <c r="C22" s="82">
        <v>76.487241026152148</v>
      </c>
      <c r="E22" s="82"/>
      <c r="F22" s="82"/>
      <c r="J22" s="82"/>
      <c r="K22" s="82"/>
      <c r="M22" s="82"/>
      <c r="N22" s="82"/>
    </row>
    <row r="23" spans="2:14" x14ac:dyDescent="0.25">
      <c r="B23" s="82"/>
      <c r="C23" s="82"/>
      <c r="E23" s="82"/>
      <c r="F23" s="82"/>
      <c r="J23" s="82"/>
      <c r="K23" s="82"/>
      <c r="M23" s="82"/>
      <c r="N23" s="82"/>
    </row>
    <row r="24" spans="2:14" x14ac:dyDescent="0.25">
      <c r="B24" s="82"/>
      <c r="C24" s="82"/>
      <c r="E24" s="82"/>
      <c r="F24" s="82"/>
      <c r="J24" s="82"/>
      <c r="K24" s="82"/>
      <c r="M24" s="82"/>
      <c r="N24" s="82"/>
    </row>
    <row r="25" spans="2:14" x14ac:dyDescent="0.25">
      <c r="B25" s="82"/>
      <c r="C25" s="82"/>
      <c r="E25" s="82"/>
      <c r="F25" s="82"/>
      <c r="J25" s="82"/>
      <c r="K25" s="82"/>
      <c r="M25" s="82"/>
      <c r="N25" s="82"/>
    </row>
    <row r="26" spans="2:14" x14ac:dyDescent="0.25">
      <c r="B26" s="82"/>
      <c r="C26" s="82"/>
      <c r="E26" s="82"/>
      <c r="F26" s="82"/>
      <c r="J26" s="82"/>
      <c r="K26" s="82"/>
      <c r="M26" s="82"/>
      <c r="N26" s="82"/>
    </row>
    <row r="27" spans="2:14" x14ac:dyDescent="0.25">
      <c r="B27" s="82"/>
      <c r="C27" s="82"/>
      <c r="E27" s="82"/>
      <c r="F27" s="82"/>
      <c r="J27" s="82"/>
      <c r="K27" s="82"/>
      <c r="M27" s="82"/>
      <c r="N27" s="82"/>
    </row>
    <row r="28" spans="2:14" x14ac:dyDescent="0.25">
      <c r="B28" s="82"/>
      <c r="C28" s="82"/>
      <c r="E28" s="82"/>
      <c r="F28" s="82"/>
      <c r="J28" s="82"/>
      <c r="K28" s="82"/>
      <c r="M28" s="82"/>
      <c r="N28" s="82"/>
    </row>
    <row r="29" spans="2:14" x14ac:dyDescent="0.25">
      <c r="B29" s="82"/>
      <c r="C29" s="82"/>
      <c r="E29" s="82"/>
      <c r="F29" s="82"/>
      <c r="J29" s="82"/>
      <c r="K29" s="82"/>
      <c r="M29" s="82"/>
      <c r="N29" s="82"/>
    </row>
    <row r="30" spans="2:14" x14ac:dyDescent="0.25">
      <c r="B30" s="82"/>
      <c r="C30" s="82"/>
      <c r="E30" s="82"/>
      <c r="F30" s="82"/>
      <c r="J30" s="82"/>
      <c r="K30" s="82"/>
      <c r="M30" s="82"/>
      <c r="N30" s="82"/>
    </row>
    <row r="31" spans="2:14" x14ac:dyDescent="0.25">
      <c r="B31" s="82"/>
      <c r="C31" s="82"/>
      <c r="E31" s="82"/>
      <c r="F31" s="82"/>
      <c r="J31" s="82"/>
      <c r="K31" s="82"/>
      <c r="M31" s="82"/>
      <c r="N31" s="82"/>
    </row>
    <row r="32" spans="2:14" x14ac:dyDescent="0.25">
      <c r="B32" s="82"/>
      <c r="C32" s="82"/>
      <c r="E32" s="82"/>
      <c r="F32" s="82"/>
      <c r="J32" s="82"/>
      <c r="K32" s="82"/>
      <c r="M32" s="82"/>
      <c r="N32" s="82"/>
    </row>
    <row r="33" spans="2:14" x14ac:dyDescent="0.25">
      <c r="B33" s="82"/>
      <c r="C33" s="82"/>
      <c r="E33" s="82"/>
      <c r="F33" s="82"/>
      <c r="J33" s="82"/>
      <c r="K33" s="82"/>
      <c r="M33" s="82"/>
      <c r="N33" s="82"/>
    </row>
    <row r="34" spans="2:14" x14ac:dyDescent="0.25">
      <c r="B34" s="82"/>
      <c r="C34" s="82"/>
      <c r="E34" s="82"/>
      <c r="F34" s="82"/>
    </row>
    <row r="35" spans="2:14" x14ac:dyDescent="0.25">
      <c r="B35" s="82"/>
      <c r="C35" s="82"/>
      <c r="E35" s="82"/>
      <c r="F35" s="82"/>
    </row>
    <row r="36" spans="2:14" x14ac:dyDescent="0.25">
      <c r="B36" s="82"/>
      <c r="C36" s="82"/>
      <c r="E36" s="82"/>
      <c r="F36" s="82"/>
    </row>
    <row r="37" spans="2:14" x14ac:dyDescent="0.25">
      <c r="B37" s="82"/>
      <c r="C37" s="82"/>
      <c r="E37" s="82"/>
      <c r="F37" s="8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7ACF1-0239-4A54-91DB-E61E0182686E}">
  <sheetPr codeName="Sheet5"/>
  <dimension ref="A2:Y33"/>
  <sheetViews>
    <sheetView workbookViewId="0">
      <selection activeCell="U32" sqref="U32"/>
    </sheetView>
  </sheetViews>
  <sheetFormatPr defaultRowHeight="15" x14ac:dyDescent="0.25"/>
  <cols>
    <col min="11" max="11" width="15" customWidth="1"/>
    <col min="12" max="12" width="14.140625" customWidth="1"/>
  </cols>
  <sheetData>
    <row r="2" spans="1:14" ht="15.75" thickBot="1" x14ac:dyDescent="0.3">
      <c r="A2" t="s">
        <v>184</v>
      </c>
      <c r="J2" t="s">
        <v>163</v>
      </c>
      <c r="L2" s="76">
        <v>5.0000000000000002E-5</v>
      </c>
      <c r="N2" s="76">
        <v>5.0000000000000004E-6</v>
      </c>
    </row>
    <row r="3" spans="1:14" ht="15.75" thickTop="1" x14ac:dyDescent="0.25">
      <c r="A3" s="83">
        <v>0</v>
      </c>
      <c r="B3" s="84" t="s">
        <v>170</v>
      </c>
      <c r="C3" s="84"/>
      <c r="D3" s="84"/>
      <c r="E3" s="84"/>
      <c r="F3" s="84"/>
      <c r="G3" s="85"/>
      <c r="H3" s="83">
        <v>0</v>
      </c>
      <c r="J3" t="s">
        <v>166</v>
      </c>
      <c r="L3">
        <v>5.0000000000000002E-5</v>
      </c>
      <c r="N3">
        <v>2.0000000000000002E-5</v>
      </c>
    </row>
    <row r="4" spans="1:14" x14ac:dyDescent="0.25">
      <c r="A4" s="86">
        <v>0</v>
      </c>
      <c r="B4" t="s">
        <v>171</v>
      </c>
      <c r="G4" s="87"/>
      <c r="H4" s="86">
        <v>0</v>
      </c>
    </row>
    <row r="5" spans="1:14" x14ac:dyDescent="0.25">
      <c r="A5" s="86">
        <v>23.318272946495348</v>
      </c>
      <c r="B5" t="s">
        <v>172</v>
      </c>
      <c r="G5" s="87"/>
      <c r="H5" s="86">
        <v>23.318272946495348</v>
      </c>
      <c r="K5" t="s">
        <v>200</v>
      </c>
      <c r="L5" t="s">
        <v>164</v>
      </c>
    </row>
    <row r="6" spans="1:14" x14ac:dyDescent="0.25">
      <c r="A6" s="86">
        <v>16.434362769851756</v>
      </c>
      <c r="B6" t="s">
        <v>173</v>
      </c>
      <c r="G6" s="87"/>
      <c r="H6" s="86">
        <v>16.434362769851756</v>
      </c>
      <c r="K6" t="s">
        <v>165</v>
      </c>
    </row>
    <row r="7" spans="1:14" x14ac:dyDescent="0.25">
      <c r="A7" s="86">
        <v>32.74039769846231</v>
      </c>
      <c r="B7" t="s">
        <v>174</v>
      </c>
      <c r="G7" s="87"/>
      <c r="H7" s="86">
        <v>32.74039769846231</v>
      </c>
      <c r="K7" s="78">
        <v>8.0000000000000004E-4</v>
      </c>
      <c r="L7">
        <f>IF(K7&lt;$L$2,0,MAX(0,(K7-$L$2)/($L$3+K7-$L$2)))</f>
        <v>0.9375</v>
      </c>
    </row>
    <row r="8" spans="1:14" x14ac:dyDescent="0.25">
      <c r="A8" s="86">
        <v>3.7062295093073443</v>
      </c>
      <c r="B8" t="s">
        <v>175</v>
      </c>
      <c r="G8" s="87"/>
      <c r="H8" s="86">
        <v>3.7062295093073443</v>
      </c>
      <c r="J8">
        <v>0.95</v>
      </c>
      <c r="K8" s="78">
        <f t="shared" ref="K8:K23" si="0">$K$7*J8</f>
        <v>7.6000000000000004E-4</v>
      </c>
      <c r="L8">
        <f t="shared" ref="L8:L30" si="1">IF(K8&lt;$L$2,0,MAX(0,(K8-$L$2)/($L$3+K8-$L$2)))</f>
        <v>0.93421052631578949</v>
      </c>
    </row>
    <row r="9" spans="1:14" x14ac:dyDescent="0.25">
      <c r="A9" s="86">
        <v>534.35234544995001</v>
      </c>
      <c r="B9" t="s">
        <v>176</v>
      </c>
      <c r="G9" s="87"/>
      <c r="H9" s="86">
        <v>534.35234544995001</v>
      </c>
      <c r="J9">
        <v>0.9</v>
      </c>
      <c r="K9" s="78">
        <f t="shared" si="0"/>
        <v>7.2000000000000005E-4</v>
      </c>
      <c r="L9">
        <f t="shared" si="1"/>
        <v>0.93055555555555558</v>
      </c>
    </row>
    <row r="10" spans="1:14" ht="15.75" thickBot="1" x14ac:dyDescent="0.3">
      <c r="A10" s="88">
        <v>190.00000000000003</v>
      </c>
      <c r="B10" s="89" t="s">
        <v>177</v>
      </c>
      <c r="C10" s="89"/>
      <c r="D10" s="89"/>
      <c r="E10" s="89"/>
      <c r="F10" s="89"/>
      <c r="G10" s="90"/>
      <c r="H10" s="88">
        <v>190.00000000000003</v>
      </c>
      <c r="J10">
        <v>0.85</v>
      </c>
      <c r="K10" s="78">
        <f t="shared" si="0"/>
        <v>6.8000000000000005E-4</v>
      </c>
      <c r="L10">
        <f t="shared" si="1"/>
        <v>0.92647058823529405</v>
      </c>
    </row>
    <row r="11" spans="1:14" ht="15.75" thickTop="1" x14ac:dyDescent="0.25">
      <c r="J11">
        <v>0.8</v>
      </c>
      <c r="K11" s="78">
        <f t="shared" si="0"/>
        <v>6.4000000000000005E-4</v>
      </c>
      <c r="L11">
        <f t="shared" si="1"/>
        <v>0.921875</v>
      </c>
    </row>
    <row r="12" spans="1:14" x14ac:dyDescent="0.25">
      <c r="A12" s="81" t="s">
        <v>178</v>
      </c>
      <c r="B12" s="81" t="s">
        <v>6</v>
      </c>
      <c r="D12" s="81" t="s">
        <v>88</v>
      </c>
      <c r="E12" s="81" t="s">
        <v>73</v>
      </c>
      <c r="J12">
        <v>0.75</v>
      </c>
      <c r="K12" s="78">
        <f t="shared" si="0"/>
        <v>6.0000000000000006E-4</v>
      </c>
      <c r="L12">
        <f t="shared" si="1"/>
        <v>0.91666666666666663</v>
      </c>
    </row>
    <row r="13" spans="1:14" x14ac:dyDescent="0.25">
      <c r="A13" s="81"/>
      <c r="B13" s="81" t="s">
        <v>179</v>
      </c>
      <c r="D13" s="81"/>
      <c r="E13" s="81" t="s">
        <v>201</v>
      </c>
      <c r="J13">
        <v>0.7</v>
      </c>
      <c r="K13" s="78">
        <f t="shared" si="0"/>
        <v>5.5999999999999995E-4</v>
      </c>
      <c r="L13">
        <f t="shared" si="1"/>
        <v>0.9107142857142857</v>
      </c>
    </row>
    <row r="14" spans="1:14" x14ac:dyDescent="0.25">
      <c r="A14" s="82">
        <v>135</v>
      </c>
      <c r="B14" s="82">
        <v>20</v>
      </c>
      <c r="D14" s="82">
        <v>275</v>
      </c>
      <c r="E14" s="82">
        <v>70</v>
      </c>
      <c r="J14">
        <v>0.65</v>
      </c>
      <c r="K14" s="78">
        <f t="shared" si="0"/>
        <v>5.2000000000000006E-4</v>
      </c>
      <c r="L14">
        <f t="shared" si="1"/>
        <v>0.90384615384615385</v>
      </c>
    </row>
    <row r="15" spans="1:14" x14ac:dyDescent="0.25">
      <c r="A15" s="82">
        <v>181</v>
      </c>
      <c r="B15" s="82">
        <v>202.1202027126773</v>
      </c>
      <c r="D15" s="82">
        <v>15</v>
      </c>
      <c r="E15" s="82">
        <v>20</v>
      </c>
      <c r="J15">
        <v>0.6</v>
      </c>
      <c r="K15" s="78">
        <f t="shared" si="0"/>
        <v>4.8000000000000001E-4</v>
      </c>
      <c r="L15">
        <f t="shared" si="1"/>
        <v>0.89583333333333337</v>
      </c>
    </row>
    <row r="16" spans="1:14" x14ac:dyDescent="0.25">
      <c r="A16" s="82">
        <v>207</v>
      </c>
      <c r="B16" s="82">
        <v>162.29475717550332</v>
      </c>
      <c r="D16" s="82">
        <v>138</v>
      </c>
      <c r="E16" s="82">
        <v>100</v>
      </c>
      <c r="J16">
        <v>0.55000000000000104</v>
      </c>
      <c r="K16" s="78">
        <f t="shared" si="0"/>
        <v>4.4000000000000088E-4</v>
      </c>
      <c r="L16">
        <f t="shared" si="1"/>
        <v>0.88636363636363669</v>
      </c>
    </row>
    <row r="17" spans="1:25" x14ac:dyDescent="0.25">
      <c r="A17" s="82">
        <v>234</v>
      </c>
      <c r="B17" s="82">
        <v>149.93738556176939</v>
      </c>
      <c r="D17" s="82"/>
      <c r="E17" s="82"/>
      <c r="J17">
        <v>0.500000000000001</v>
      </c>
      <c r="K17" s="78">
        <f t="shared" si="0"/>
        <v>4.0000000000000083E-4</v>
      </c>
      <c r="L17">
        <f t="shared" si="1"/>
        <v>0.87500000000000022</v>
      </c>
    </row>
    <row r="18" spans="1:25" x14ac:dyDescent="0.25">
      <c r="A18" s="82"/>
      <c r="B18" s="82"/>
      <c r="D18" s="82"/>
      <c r="E18" s="82"/>
      <c r="J18">
        <v>0.45000000000000101</v>
      </c>
      <c r="K18" s="78">
        <f t="shared" si="0"/>
        <v>3.6000000000000084E-4</v>
      </c>
      <c r="L18">
        <f t="shared" si="1"/>
        <v>0.86111111111111138</v>
      </c>
    </row>
    <row r="19" spans="1:25" x14ac:dyDescent="0.25">
      <c r="A19" s="82"/>
      <c r="B19" s="82"/>
      <c r="D19" s="82"/>
      <c r="E19" s="82"/>
      <c r="J19">
        <v>0.40000000000000102</v>
      </c>
      <c r="K19" s="78">
        <f t="shared" si="0"/>
        <v>3.2000000000000084E-4</v>
      </c>
      <c r="L19">
        <f t="shared" si="1"/>
        <v>0.84375000000000033</v>
      </c>
    </row>
    <row r="20" spans="1:25" x14ac:dyDescent="0.25">
      <c r="A20" s="82"/>
      <c r="B20" s="82"/>
      <c r="D20" s="82"/>
      <c r="E20" s="82"/>
      <c r="J20">
        <v>0.35000000000000098</v>
      </c>
      <c r="K20" s="78">
        <f t="shared" si="0"/>
        <v>2.8000000000000079E-4</v>
      </c>
      <c r="L20">
        <f t="shared" si="1"/>
        <v>0.82142857142857195</v>
      </c>
    </row>
    <row r="21" spans="1:25" x14ac:dyDescent="0.25">
      <c r="A21" s="82"/>
      <c r="B21" s="82"/>
      <c r="D21" s="82"/>
      <c r="E21" s="82"/>
      <c r="J21">
        <v>0.30000000000000099</v>
      </c>
      <c r="K21" s="78">
        <f t="shared" si="0"/>
        <v>2.4000000000000079E-4</v>
      </c>
      <c r="L21">
        <f t="shared" si="1"/>
        <v>0.7916666666666673</v>
      </c>
    </row>
    <row r="22" spans="1:25" x14ac:dyDescent="0.25">
      <c r="A22" s="82"/>
      <c r="B22" s="82"/>
      <c r="D22" s="82"/>
      <c r="E22" s="82"/>
      <c r="J22">
        <v>0.250000000000001</v>
      </c>
      <c r="K22" s="78">
        <f t="shared" si="0"/>
        <v>2.000000000000008E-4</v>
      </c>
      <c r="L22">
        <f t="shared" si="1"/>
        <v>0.75000000000000089</v>
      </c>
    </row>
    <row r="23" spans="1:25" x14ac:dyDescent="0.25">
      <c r="A23" s="82"/>
      <c r="B23" s="82"/>
      <c r="D23" s="82"/>
      <c r="E23" s="82"/>
      <c r="J23">
        <v>0.20000000000000101</v>
      </c>
      <c r="K23" s="78">
        <f t="shared" si="0"/>
        <v>1.6000000000000083E-4</v>
      </c>
      <c r="L23">
        <f t="shared" si="1"/>
        <v>0.68750000000000167</v>
      </c>
    </row>
    <row r="24" spans="1:25" x14ac:dyDescent="0.25">
      <c r="A24" s="82"/>
      <c r="B24" s="82"/>
      <c r="D24" s="82"/>
      <c r="E24" s="82"/>
      <c r="J24">
        <v>0.15000000000000099</v>
      </c>
      <c r="K24" s="78">
        <f t="shared" ref="K24:K30" si="2">$K$7*J24</f>
        <v>1.200000000000008E-4</v>
      </c>
      <c r="L24">
        <f t="shared" si="1"/>
        <v>0.58333333333333615</v>
      </c>
      <c r="O24" s="82">
        <v>164</v>
      </c>
      <c r="P24" s="82">
        <v>50</v>
      </c>
      <c r="R24" s="82">
        <v>164</v>
      </c>
      <c r="S24" s="82">
        <v>50</v>
      </c>
      <c r="U24" s="82">
        <v>164</v>
      </c>
      <c r="V24" s="82">
        <v>50</v>
      </c>
      <c r="X24" s="82">
        <v>164</v>
      </c>
      <c r="Y24" s="82">
        <v>50</v>
      </c>
    </row>
    <row r="25" spans="1:25" x14ac:dyDescent="0.25">
      <c r="A25" s="82"/>
      <c r="B25" s="82"/>
      <c r="D25" s="82"/>
      <c r="E25" s="82"/>
      <c r="J25">
        <v>0.100000000000001</v>
      </c>
      <c r="K25" s="78">
        <f>$K$7*J25</f>
        <v>8.0000000000000806E-5</v>
      </c>
      <c r="L25">
        <f t="shared" si="1"/>
        <v>0.37500000000000627</v>
      </c>
      <c r="O25" s="82">
        <v>179</v>
      </c>
      <c r="P25" s="82">
        <v>60</v>
      </c>
      <c r="R25" s="82">
        <v>179</v>
      </c>
      <c r="S25" s="82">
        <v>60</v>
      </c>
      <c r="U25" s="82">
        <v>179</v>
      </c>
      <c r="V25" s="82">
        <v>60</v>
      </c>
      <c r="X25" s="82">
        <v>179</v>
      </c>
      <c r="Y25" s="82">
        <v>60</v>
      </c>
    </row>
    <row r="26" spans="1:25" x14ac:dyDescent="0.25">
      <c r="A26" s="82"/>
      <c r="B26" s="82"/>
      <c r="D26" s="82"/>
      <c r="E26" s="82"/>
      <c r="J26">
        <v>5.0000000000000898E-2</v>
      </c>
      <c r="K26" s="78">
        <f t="shared" si="2"/>
        <v>4.0000000000000722E-5</v>
      </c>
      <c r="L26">
        <f t="shared" si="1"/>
        <v>0</v>
      </c>
      <c r="N26" s="76"/>
      <c r="O26" s="82">
        <v>181</v>
      </c>
      <c r="P26" s="82">
        <v>40</v>
      </c>
      <c r="R26" s="82">
        <v>181</v>
      </c>
      <c r="S26" s="82">
        <v>40</v>
      </c>
      <c r="U26" s="82">
        <v>181</v>
      </c>
      <c r="V26" s="82">
        <v>40</v>
      </c>
      <c r="X26" s="82">
        <v>181</v>
      </c>
      <c r="Y26" s="82">
        <v>40</v>
      </c>
    </row>
    <row r="27" spans="1:25" x14ac:dyDescent="0.25">
      <c r="A27" s="82"/>
      <c r="B27" s="82"/>
      <c r="D27" s="82"/>
      <c r="E27" s="82"/>
      <c r="J27">
        <v>0.04</v>
      </c>
      <c r="K27" s="78">
        <f t="shared" si="2"/>
        <v>3.2000000000000005E-5</v>
      </c>
      <c r="L27">
        <f t="shared" si="1"/>
        <v>0</v>
      </c>
      <c r="O27" s="82">
        <v>193</v>
      </c>
      <c r="P27" s="82">
        <v>157.22734341657647</v>
      </c>
      <c r="R27" s="82">
        <v>196</v>
      </c>
      <c r="S27" s="82">
        <v>175.13210028248642</v>
      </c>
      <c r="U27" s="82">
        <v>198</v>
      </c>
      <c r="V27" s="82">
        <v>188.2020922223756</v>
      </c>
      <c r="X27" s="82">
        <v>193</v>
      </c>
      <c r="Y27" s="82">
        <v>157.22734341657647</v>
      </c>
    </row>
    <row r="28" spans="1:25" x14ac:dyDescent="0.25">
      <c r="A28" s="82"/>
      <c r="B28" s="82"/>
      <c r="D28" s="82"/>
      <c r="E28" s="82"/>
      <c r="J28">
        <v>0.03</v>
      </c>
      <c r="K28" s="78">
        <f t="shared" si="2"/>
        <v>2.4000000000000001E-5</v>
      </c>
      <c r="L28">
        <f t="shared" si="1"/>
        <v>0</v>
      </c>
      <c r="O28" s="82">
        <v>207</v>
      </c>
      <c r="P28" s="82">
        <v>89.107120655294167</v>
      </c>
      <c r="R28" s="82">
        <v>213</v>
      </c>
      <c r="S28" s="82">
        <v>103.00494339934747</v>
      </c>
      <c r="U28" s="82">
        <v>218</v>
      </c>
      <c r="V28" s="82">
        <v>122.74710944118975</v>
      </c>
      <c r="X28" s="82">
        <v>207</v>
      </c>
      <c r="Y28" s="82">
        <v>89.107120655294167</v>
      </c>
    </row>
    <row r="29" spans="1:25" x14ac:dyDescent="0.25">
      <c r="A29" s="82"/>
      <c r="B29" s="82"/>
      <c r="D29" s="82"/>
      <c r="E29" s="82"/>
      <c r="J29">
        <v>0.02</v>
      </c>
      <c r="K29" s="78">
        <f t="shared" si="2"/>
        <v>1.6000000000000003E-5</v>
      </c>
      <c r="L29">
        <f t="shared" si="1"/>
        <v>0</v>
      </c>
      <c r="O29" s="82">
        <v>222</v>
      </c>
      <c r="P29" s="82">
        <v>90.013229817948499</v>
      </c>
      <c r="R29" s="82">
        <v>231</v>
      </c>
      <c r="S29" s="82">
        <v>108.71499094160724</v>
      </c>
      <c r="X29" s="82">
        <v>222</v>
      </c>
      <c r="Y29" s="82">
        <v>90.013229817948499</v>
      </c>
    </row>
    <row r="30" spans="1:25" x14ac:dyDescent="0.25">
      <c r="A30" s="82"/>
      <c r="B30" s="82"/>
      <c r="D30" s="82"/>
      <c r="E30" s="82"/>
      <c r="J30">
        <v>0.01</v>
      </c>
      <c r="K30" s="78">
        <f t="shared" si="2"/>
        <v>8.0000000000000013E-6</v>
      </c>
      <c r="L30">
        <f t="shared" si="1"/>
        <v>0</v>
      </c>
      <c r="O30" s="82">
        <v>242</v>
      </c>
      <c r="P30" s="82">
        <v>85.601839575037218</v>
      </c>
      <c r="X30" s="82">
        <v>242</v>
      </c>
      <c r="Y30" s="82">
        <v>85.601839575037218</v>
      </c>
    </row>
    <row r="31" spans="1:25" x14ac:dyDescent="0.25">
      <c r="A31" s="82"/>
      <c r="B31" s="82"/>
      <c r="D31" s="82"/>
      <c r="E31" s="82"/>
    </row>
    <row r="32" spans="1:25" x14ac:dyDescent="0.25">
      <c r="A32" s="82"/>
      <c r="B32" s="82"/>
      <c r="D32" s="82"/>
      <c r="E32" s="82"/>
    </row>
    <row r="33" spans="1:5" x14ac:dyDescent="0.25">
      <c r="A33" s="82"/>
      <c r="B33" s="82"/>
      <c r="D33" s="82"/>
      <c r="E33" s="8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Field Input</vt:lpstr>
      <vt:lpstr>Crop Parameters</vt:lpstr>
      <vt:lpstr>Initial Soil Conditions</vt:lpstr>
      <vt:lpstr>Crop One Output</vt:lpstr>
      <vt:lpstr>Crop One Soil Output</vt:lpstr>
      <vt:lpstr>Crop Two Output</vt:lpstr>
      <vt:lpstr>Crop Two Soil Output</vt:lpstr>
      <vt:lpstr>Summary Output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Stockle</dc:creator>
  <cp:lastModifiedBy>Claudio Stockle</cp:lastModifiedBy>
  <dcterms:created xsi:type="dcterms:W3CDTF">2024-08-02T17:06:06Z</dcterms:created>
  <dcterms:modified xsi:type="dcterms:W3CDTF">2025-04-17T22:15:05Z</dcterms:modified>
</cp:coreProperties>
</file>